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e5efd9abc447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2a61ae1d69c4674"/>
    <x:sheet xmlns:r="http://schemas.openxmlformats.org/officeDocument/2006/relationships" name="Source_Review" sheetId="2" r:id="R05bf0ec4007a4a56"/>
    <x:sheet xmlns:r="http://schemas.openxmlformats.org/officeDocument/2006/relationships" name="Principles" sheetId="3" r:id="Rb756fe995e064a71"/>
    <x:sheet xmlns:r="http://schemas.openxmlformats.org/officeDocument/2006/relationships" name="Level_Profiles" sheetId="4" r:id="Ra60ac702427c43cc"/>
    <x:sheet xmlns:r="http://schemas.openxmlformats.org/officeDocument/2006/relationships" name="Volume_Rules" sheetId="5" r:id="Rf3a0fd9917d541c4"/>
    <x:sheet xmlns:r="http://schemas.openxmlformats.org/officeDocument/2006/relationships" name="Session_Templates" sheetId="6" r:id="R1f2e550a4d214eb4"/>
    <x:sheet xmlns:r="http://schemas.openxmlformats.org/officeDocument/2006/relationships" name="Generator_Rules" sheetId="7" r:id="Ra3c1ffec4e88416c"/>
    <x:sheet xmlns:r="http://schemas.openxmlformats.org/officeDocument/2006/relationships" name="Scaling_Map" sheetId="8" r:id="R03f58ea1f8f24cd3"/>
    <x:sheet xmlns:r="http://schemas.openxmlformats.org/officeDocument/2006/relationships" name="Enums" sheetId="9" r:id="R3ee5e39f1135405c"/>
    <x:sheet xmlns:r="http://schemas.openxmlformats.org/officeDocument/2006/relationships" name="Open_Workouts" sheetId="10" r:id="Rb5efd09e19604d43"/>
    <x:sheet xmlns:r="http://schemas.openxmlformats.org/officeDocument/2006/relationships" name="Open_Movement_Index" sheetId="11" r:id="Ra50d95d26be14b43"/>
    <x:sheet xmlns:r="http://schemas.openxmlformats.org/officeDocument/2006/relationships" name="Official_Videos" sheetId="12" r:id="R79dbade7a5574002"/>
    <x:sheet xmlns:r="http://schemas.openxmlformats.org/officeDocument/2006/relationships" name="Exercise_DB" sheetId="13" r:id="R4f3e1a4bf8584a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B6573"/>
      <x:name val="Carlito"/>
    </x:font>
    <x:font>
      <x:b/>
      <x:sz val="11"/>
      <x:color rgb="FFFFFFFF"/>
      <x:name val="Carlito"/>
    </x:font>
    <x:font>
      <x:b/>
      <x:sz val="11"/>
      <x:color rgb="FF7C2D12"/>
      <x:name val="Carlito"/>
    </x:font>
    <x:font>
      <x:b/>
      <x:sz val="10"/>
      <x:color rgb="FF1F2937"/>
      <x:name val="Aptos"/>
    </x:font>
    <x:font>
      <x:sz val="10"/>
      <x:color rgb="FF1F2937"/>
      <x:name val="Aptos"/>
    </x:font>
    <x:font>
      <x:i/>
      <x:sz val="10"/>
      <x:color rgb="FF1F2937"/>
      <x:name val="Aptos"/>
    </x:font>
    <x:font>
      <x:b/>
      <x:sz val="18"/>
      <x:color rgb="FFFFFFFF"/>
      <x:name val="Aptos Display"/>
    </x:font>
    <x:font>
      <x:i/>
      <x:sz val="10"/>
      <x:color rgb="FF5B6573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AF4F4"/>
      </x:patternFill>
    </x:fill>
    <x:fill>
      <x:patternFill patternType="solid">
        <x:fgColor rgb="FF0F766E"/>
      </x:patternFill>
    </x:fill>
    <x:fill>
      <x:patternFill patternType="solid">
        <x:fgColor rgb="FFD6A756"/>
      </x:patternFill>
    </x:fill>
    <x:fill>
      <x:patternFill patternType="solid">
        <x:fgColor rgb="FFF4F7F9"/>
      </x:patternFill>
    </x:fill>
    <x:fill>
      <x:patternFill patternType="solid">
        <x:fgColor rgb="FFFEF3C7"/>
      </x:patternFill>
    </x:fill>
  </x:fills>
  <x:borders count="9">
    <x:border/>
    <x:border>
      <x:left style="thin">
        <x:color rgb="FFB8C2CC"/>
      </x:left>
      <x:top style="thin">
        <x:color rgb="FFB8C2CC"/>
      </x:top>
    </x:border>
    <x:border>
      <x:top style="thin">
        <x:color rgb="FFB8C2CC"/>
      </x:top>
    </x:border>
    <x:border>
      <x:right style="thin">
        <x:color rgb="FFB8C2CC"/>
      </x:right>
      <x:top style="thin">
        <x:color rgb="FFB8C2CC"/>
      </x:top>
    </x:border>
    <x:border>
      <x:left style="thin">
        <x:color rgb="FFB8C2CC"/>
      </x:left>
    </x:border>
    <x:border>
      <x:right style="thin">
        <x:color rgb="FFB8C2CC"/>
      </x:right>
    </x:border>
    <x:border>
      <x:left style="thin">
        <x:color rgb="FFB8C2CC"/>
      </x:left>
      <x:bottom style="thin">
        <x:color rgb="FFB8C2CC"/>
      </x:bottom>
    </x:border>
    <x:border>
      <x:bottom style="thin">
        <x:color rgb="FFB8C2CC"/>
      </x:bottom>
    </x:border>
    <x:border>
      <x:right style="thin">
        <x:color rgb="FFB8C2CC"/>
      </x:right>
      <x:bottom style="thin">
        <x:color rgb="FFB8C2CC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/>
    </x:xf>
    <x:xf numFmtId="0" fontId="3" fillId="5" borderId="0" xfId="0" applyNumberFormat="1" applyFont="1" applyFill="1" applyBorder="1" applyAlignment="1">
      <x:alignment vertical="top"/>
    </x:xf>
    <x:xf numFmtId="0" fontId="4" fillId="7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201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1" fontId="0" fillId="0" borderId="8" xfId="0" applyNumberFormat="1" applyFont="1" applyFill="1" applyBorder="1"/>
    <x:xf numFmtId="0" fontId="3" fillId="5" borderId="1" xfId="0" applyNumberFormat="1" applyFont="1" applyFill="1" applyBorder="1" applyAlignment="1">
      <x:alignment vertical="top"/>
    </x:xf>
    <x:xf numFmtId="0" fontId="3" fillId="5" borderId="2" xfId="0" applyNumberFormat="1" applyFont="1" applyFill="1" applyBorder="1" applyAlignment="1">
      <x:alignment vertical="top"/>
    </x:xf>
    <x:xf numFmtId="0" fontId="3" fillId="5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201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201" fontId="0" fillId="0" borderId="8" xfId="0" applyNumberFormat="1" applyFont="1" applyFill="1" applyBorder="1" applyAlignment="1">
      <x:alignment vertical="top"/>
    </x:xf>
    <x:xf numFmtId="0" fontId="5" fillId="2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</x:xf>
    <x:xf numFmtId="0" fontId="7" fillId="3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/>
    </x:xf>
    <x:xf numFmtId="0" fontId="5" fillId="5" borderId="0" xfId="0" applyNumberFormat="1" applyFont="1" applyFill="1" applyBorder="1" applyAlignment="1">
      <x:alignment vertical="top"/>
    </x:xf>
    <x:xf numFmtId="0" fontId="6" fillId="6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vertical="top"/>
    </x:xf>
    <x:xf numFmtId="0" fontId="9" fillId="3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/>
    </x:xf>
    <x:xf numFmtId="0" fontId="5" fillId="5" borderId="2" xfId="0" applyNumberFormat="1" applyFont="1" applyFill="1" applyBorder="1" applyAlignment="1">
      <x:alignment vertical="top"/>
    </x:xf>
    <x:xf numFmtId="0" fontId="5" fillId="5" borderId="3" xfId="0" applyNumberFormat="1" applyFont="1" applyFill="1" applyBorder="1" applyAlignment="1">
      <x:alignment vertical="top"/>
    </x:xf>
    <x:xf numFmtId="0" fontId="6" fillId="0" borderId="4" xfId="0" applyNumberFormat="1" applyFont="1" applyFill="1" applyBorder="1" applyAlignment="1">
      <x:alignment vertical="top"/>
    </x:xf>
    <x:xf numFmtId="201" fontId="6" fillId="0" borderId="5" xfId="0" applyNumberFormat="1" applyFont="1" applyFill="1" applyBorder="1" applyAlignment="1">
      <x:alignment vertical="top"/>
    </x:xf>
    <x:xf numFmtId="0" fontId="6" fillId="0" borderId="6" xfId="0" applyNumberFormat="1" applyFont="1" applyFill="1" applyBorder="1" applyAlignment="1">
      <x:alignment vertical="top"/>
    </x:xf>
    <x:xf numFmtId="0" fontId="6" fillId="0" borderId="7" xfId="0" applyNumberFormat="1" applyFont="1" applyFill="1" applyBorder="1" applyAlignment="1">
      <x:alignment vertical="top"/>
    </x:xf>
    <x:xf numFmtId="201" fontId="6" fillId="0" borderId="8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6671d5c7ba4954" /><Relationship Type="http://schemas.openxmlformats.org/officeDocument/2006/relationships/theme" Target="/xl/theme/theme1.xml" Id="R976313a18f5c4b0f" /><Relationship Type="http://schemas.openxmlformats.org/officeDocument/2006/relationships/sharedStrings" Target="/xl/sharedStrings.xml" Id="R25aa0690fcff4dde" /><Relationship Type="http://schemas.openxmlformats.org/officeDocument/2006/relationships/worksheet" Target="/xl/worksheets/sheet1.xml" Id="Rc2a61ae1d69c4674" /><Relationship Type="http://schemas.openxmlformats.org/officeDocument/2006/relationships/worksheet" Target="/xl/worksheets/sheet2.xml" Id="R05bf0ec4007a4a56" /><Relationship Type="http://schemas.openxmlformats.org/officeDocument/2006/relationships/worksheet" Target="/xl/worksheets/sheet3.xml" Id="Rb756fe995e064a71" /><Relationship Type="http://schemas.openxmlformats.org/officeDocument/2006/relationships/worksheet" Target="/xl/worksheets/sheet4.xml" Id="Ra60ac702427c43cc" /><Relationship Type="http://schemas.openxmlformats.org/officeDocument/2006/relationships/worksheet" Target="/xl/worksheets/sheet5.xml" Id="Rf3a0fd9917d541c4" /><Relationship Type="http://schemas.openxmlformats.org/officeDocument/2006/relationships/worksheet" Target="/xl/worksheets/sheet6.xml" Id="R1f2e550a4d214eb4" /><Relationship Type="http://schemas.openxmlformats.org/officeDocument/2006/relationships/worksheet" Target="/xl/worksheets/sheet7.xml" Id="Ra3c1ffec4e88416c" /><Relationship Type="http://schemas.openxmlformats.org/officeDocument/2006/relationships/worksheet" Target="/xl/worksheets/sheet8.xml" Id="R03f58ea1f8f24cd3" /><Relationship Type="http://schemas.openxmlformats.org/officeDocument/2006/relationships/worksheet" Target="/xl/worksheets/sheet9.xml" Id="R3ee5e39f1135405c" /><Relationship Type="http://schemas.openxmlformats.org/officeDocument/2006/relationships/worksheet" Target="/xl/worksheets/sheet10.xml" Id="Rb5efd09e19604d43" /><Relationship Type="http://schemas.openxmlformats.org/officeDocument/2006/relationships/worksheet" Target="/xl/worksheets/sheet11.xml" Id="Ra50d95d26be14b43" /><Relationship Type="http://schemas.openxmlformats.org/officeDocument/2006/relationships/worksheet" Target="/xl/worksheets/sheet12.xml" Id="R79dbade7a5574002" /><Relationship Type="http://schemas.openxmlformats.org/officeDocument/2006/relationships/worksheet" Target="/xl/worksheets/sheet13.xml" Id="R4f3e1a4bf8584a74" /></Relationships>
</file>

<file path=xl/tables/table1.xml><?xml version="1.0" encoding="utf-8"?>
<x:table xmlns:x="http://schemas.openxmlformats.org/spreadsheetml/2006/main" id="1" name="SourcesTable" displayName="SourcesTable" ref="A4:G33" headerRowCount="1" totalsRowCount="0" totalsRowShown="0">
  <x:tableColumns count="7">
    <x:tableColumn id="1" name="SourceID"/>
    <x:tableColumn id="2" name="프로그램/문헌"/>
    <x:tableColumn id="3" name="자료 유형"/>
    <x:tableColumn id="4" name="앱에 채택한 핵심"/>
    <x:tableColumn id="5" name="근거 수준"/>
    <x:tableColumn id="6" name="적용 한계"/>
    <x:tableColumn id="7" name="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nciplesTable" displayName="PrinciplesTable" ref="A4:F24" headerRowCount="1" totalsRowCount="0" totalsRowShown="0">
  <x:tableColumns count="6">
    <x:tableColumn id="1" name="RuleID"/>
    <x:tableColumn id="2" name="영역"/>
    <x:tableColumn id="3" name="규칙"/>
    <x:tableColumn id="4" name="앱 구현 메모"/>
    <x:tableColumn id="5" name="SourceID"/>
    <x:tableColumn id="6" name="분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filesTable" displayName="ProfilesTable" ref="A4:K8" headerRowCount="1" totalsRowCount="0" totalsRowShown="0">
  <x:tableColumns count="11">
    <x:tableColumn id="1" name="Level"/>
    <x:tableColumn id="2" name="그룹"/>
    <x:tableColumn id="3" name="주간 빈도"/>
    <x:tableColumn id="4" name="판정 기준"/>
    <x:tableColumn id="5" name="세션 분"/>
    <x:tableColumn id="6" name="주간 구조"/>
    <x:tableColumn id="7" name="고강도일 상한"/>
    <x:tableColumn id="8" name="연속일 상한"/>
    <x:tableColumn id="9" name="주 목표"/>
    <x:tableColumn id="10" name="금지/주의"/>
    <x:tableColumn id="11" name="기본 디로드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olumeTable" displayName="VolumeTable" ref="A4:I28" headerRowCount="1" totalsRowCount="0" totalsRowShown="0">
  <x:tableColumns count="9">
    <x:tableColumn id="1" name="LedgerID"/>
    <x:tableColumn id="2" name="장부"/>
    <x:tableColumn id="3" name="Level"/>
    <x:tableColumn id="4" name="최소"/>
    <x:tableColumn id="5" name="최대"/>
    <x:tableColumn id="6" name="단위"/>
    <x:tableColumn id="7" name="집계 규칙"/>
    <x:tableColumn id="8" name="사용"/>
    <x:tableColumn id="9" name="근거/상태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emplatesTable" displayName="TemplatesTable" ref="A4:H13" headerRowCount="1" totalsRowCount="0" totalsRowShown="0">
  <x:tableColumns count="8">
    <x:tableColumn id="1" name="TemplateID"/>
    <x:tableColumn id="2" name="빈도"/>
    <x:tableColumn id="3" name="세션"/>
    <x:tableColumn id="4" name="DayType"/>
    <x:tableColumn id="5" name="슬롯 순서"/>
    <x:tableColumn id="6" name="컨디셔닝"/>
    <x:tableColumn id="7" name="권장 요일"/>
    <x:tableColumn id="8" name="충돌 메모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ulesTable" displayName="RulesTable" ref="A4:F34" headerRowCount="1" totalsRowCount="0" totalsRowShown="0">
  <x:tableColumns count="6">
    <x:tableColumn id="1" name="순서"/>
    <x:tableColumn id="2" name="단계"/>
    <x:tableColumn id="3" name="검사 항목"/>
    <x:tableColumn id="4" name="조건/규칙"/>
    <x:tableColumn id="5" name="Action"/>
    <x:tableColumn id="6" name="근거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calingTable" displayName="ScalingTable" ref="A4:G24" headerRowCount="1" totalsRowCount="0" totalsRowShown="0">
  <x:tableColumns count="7">
    <x:tableColumn id="1" name="ScaleID"/>
    <x:tableColumn id="2" name="원본"/>
    <x:tableColumn id="3" name="1차 회귀"/>
    <x:tableColumn id="4" name="2차 회귀"/>
    <x:tableColumn id="5" name="보존 기능"/>
    <x:tableColumn id="6" name="자극/시간"/>
    <x:tableColumn id="7" name="코칭 메모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numsTable" displayName="EnumsTable" ref="A4:D25" headerRowCount="1" totalsRowCount="0" totalsRowShown="0">
  <x:tableColumns count="4">
    <x:tableColumn id="1" name="Enum"/>
    <x:tableColumn id="2" name="Code"/>
    <x:tableColumn id="3" name="한글"/>
    <x:tableColumn id="4" name="설명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OpenWorkoutsTable" displayName="OpenWorkoutsTable" ref="A4:I43" headerRowCount="1" totalsRowCount="0" totalsRowShown="0">
  <x:tableColumns count="9">
    <x:tableColumn id="1" name="Year"/>
    <x:tableColumn id="2" name="Workout"/>
    <x:tableColumn id="3" name="Format"/>
    <x:tableColumn id="4" name="Time cap"/>
    <x:tableColumn id="5" name="Canonical movements"/>
    <x:tableColumn id="6" name="구조 메모"/>
    <x:tableColumn id="7" name="Division"/>
    <x:tableColumn id="8" name="SourceID"/>
    <x:tableColumn id="9" name="Official UR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OpenMovementTable" displayName="OpenMovementTable" ref="A4:J48" headerRowCount="1" totalsRowCount="0" totalsRowShown="0">
  <x:tableColumns count="10">
    <x:tableColumn id="1" name="Canonical movement"/>
    <x:tableColumn id="2" name="ExerciseID"/>
    <x:tableColumn id="3" name="워크아웃 수"/>
    <x:tableColumn id="4" name="시즌 수"/>
    <x:tableColumn id="5" name="등장 시즌"/>
    <x:tableColumn id="6" name="등장 워크아웃"/>
    <x:tableColumn id="7" name="최근 등장"/>
    <x:tableColumn id="8" name="정규화 메모"/>
    <x:tableColumn id="9" name="공식 YouTube"/>
    <x:tableColumn id="10" name="CrossFit Movement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OfficialVideosTable" displayName="OfficialVideosTable" ref="A4:H23" headerRowCount="1" totalsRowCount="0" totalsRowShown="0">
  <x:tableColumns count="8">
    <x:tableColumn id="1" name="VideoID"/>
    <x:tableColumn id="2" name="Movement"/>
    <x:tableColumn id="3" name="ExerciseID"/>
    <x:tableColumn id="4" name="Official title"/>
    <x:tableColumn id="5" name="용도"/>
    <x:tableColumn id="6" name="YouTube URL"/>
    <x:tableColumn id="7" name="검증일"/>
    <x:tableColumn id="8" name="SourceID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ExercisesTable" displayName="ExercisesTable" ref="A4:Z119" headerRowCount="1" totalsRowCount="0" totalsRowShown="0">
  <x:tableColumns count="26">
    <x:tableColumn id="1" name="ExerciseID"/>
    <x:tableColumn id="2" name="한글명"/>
    <x:tableColumn id="3" name="English"/>
    <x:tableColumn id="4" name="모달리티"/>
    <x:tableColumn id="5" name="계열"/>
    <x:tableColumn id="6" name="주 패턴"/>
    <x:tableColumn id="7" name="권장 슬롯"/>
    <x:tableColumn id="8" name="장비"/>
    <x:tableColumn id="9" name="MinLevel"/>
    <x:tableColumn id="10" name="Skill 1-5"/>
    <x:tableColumn id="11" name="충격"/>
    <x:tableColumn id="12" name="처방 단위"/>
    <x:tableColumn id="13" name="기본 용량"/>
    <x:tableColumn id="14" name="상대 부하"/>
    <x:tableColumn id="15" name="회귀"/>
    <x:tableColumn id="16" name="진행"/>
    <x:tableColumn id="17" name="금기/주의"/>
    <x:tableColumn id="18" name="SourceID"/>
    <x:tableColumn id="19" name="Source URL"/>
    <x:tableColumn id="20" name="Open Rx 2017-26"/>
    <x:tableColumn id="21" name="Open 워크아웃 수"/>
    <x:tableColumn id="22" name="Open 시즌"/>
    <x:tableColumn id="23" name="Open 워크아웃"/>
    <x:tableColumn id="24" name="최근 Open"/>
    <x:tableColumn id="25" name="CrossFit Movements"/>
    <x:tableColumn id="26" name="공식 YouTub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bd5e1a2f7147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fc0358991a44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ebf6e2784b94a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60872ae35e1400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544fe2068e44f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ed14aaba6ae47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ba6b8883bfe46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372752c6afb4c9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6ae143c15a144e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36562d3f4ef496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832cae304904e0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a6f5c20c5274469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54" t="str">
        <x:v>CrossFit Programming Knowledge Base</x:v>
      </x:c>
      <x:c r="B1" s="48"/>
      <x:c r="C1" s="48"/>
      <x:c r="D1" s="48"/>
      <x:c r="E1" s="48"/>
      <x:c r="F1" s="48"/>
      <x:c r="G1" s="48"/>
      <x:c r="H1" s="48"/>
    </x:row>
    <x:row r="2" ht="30" customHeight="1">
      <x:c r="A2" s="55" t="str">
        <x:v>공개 근거를 바탕으로 만든 앱용 운동·볼륨·생성 규칙 DB | 2026-08-13 | 유료 루틴 원문 미포함</x:v>
      </x:c>
      <x:c r="B2" s="48"/>
      <x:c r="C2" s="48"/>
      <x:c r="D2" s="48"/>
      <x:c r="E2" s="48"/>
      <x:c r="F2" s="48"/>
      <x:c r="G2" s="48"/>
      <x:c r="H2" s="48"/>
    </x:row>
    <x:row r="3">
      <x:c r="A3" s="48"/>
      <x:c r="B3" s="48"/>
      <x:c r="C3" s="48"/>
      <x:c r="D3" s="48"/>
      <x:c r="E3" s="48"/>
      <x:c r="F3" s="48"/>
      <x:c r="G3" s="48"/>
      <x:c r="H3" s="48"/>
    </x:row>
    <x:row r="4">
      <x:c r="A4" s="50" t="str">
        <x:v>핵심 지표</x:v>
      </x:c>
      <x:c r="B4" s="50" t="str">
        <x:v>값</x:v>
      </x:c>
      <x:c r="C4" s="48"/>
      <x:c r="D4" s="51" t="str">
        <x:v>사용 순서</x:v>
      </x:c>
      <x:c r="E4" s="51"/>
      <x:c r="F4" s="51"/>
      <x:c r="G4" s="51"/>
      <x:c r="H4" s="51"/>
    </x:row>
    <x:row r="5">
      <x:c r="A5" s="48" t="str">
        <x:v>운동 수</x:v>
      </x:c>
      <x:c r="B5" s="48" t="n">
        <x:f>COUNTA('Exercise_DB'!$A$5:$A$250)</x:f>
        <x:v>115</x:v>
      </x:c>
      <x:c r="C5" s="48"/>
      <x:c r="D5" s="52" t="str">
        <x:v>1) Source_Review에서 근거와 한계를 확인
2) Open_Workouts와 Open_Movement_Index에서 최근 10개 시즌 출현 이력 확인
3) Exercise_DB를 MinLevel·장비·패턴으로 필터
4) Session_Templates에 배치
5) Volume_Rules와 Generator_Rules로 검증
6) Scaling_Map으로 의도된 자극을 보존</x:v>
      </x:c>
      <x:c r="E5" s="52"/>
      <x:c r="F5" s="52"/>
      <x:c r="G5" s="52"/>
      <x:c r="H5" s="52"/>
    </x:row>
    <x:row r="6">
      <x:c r="A6" s="48" t="str">
        <x:v>근거 출처 수</x:v>
      </x:c>
      <x:c r="B6" s="48" t="n">
        <x:f>COUNTA('Source_Review'!$A$5:$A$99)</x:f>
        <x:v>29</x:v>
      </x:c>
      <x:c r="C6" s="48"/>
      <x:c r="D6" s="52"/>
      <x:c r="E6" s="52"/>
      <x:c r="F6" s="52"/>
      <x:c r="G6" s="52"/>
      <x:c r="H6" s="52"/>
    </x:row>
    <x:row r="7">
      <x:c r="A7" s="48" t="str">
        <x:v>원칙 수</x:v>
      </x:c>
      <x:c r="B7" s="48" t="n">
        <x:f>COUNTA('Principles'!$A$5:$A$99)</x:f>
        <x:v>20</x:v>
      </x:c>
      <x:c r="C7" s="48"/>
      <x:c r="D7" s="52"/>
      <x:c r="E7" s="52"/>
      <x:c r="F7" s="52"/>
      <x:c r="G7" s="52"/>
      <x:c r="H7" s="52"/>
    </x:row>
    <x:row r="8">
      <x:c r="A8" s="48" t="str">
        <x:v>생성 규칙 수</x:v>
      </x:c>
      <x:c r="B8" s="48" t="n">
        <x:f>COUNTA('Generator_Rules'!$A$5:$A$99)</x:f>
        <x:v>30</x:v>
      </x:c>
      <x:c r="C8" s="48"/>
      <x:c r="D8" s="52"/>
      <x:c r="E8" s="52"/>
      <x:c r="F8" s="52"/>
      <x:c r="G8" s="52"/>
      <x:c r="H8" s="52"/>
    </x:row>
    <x:row r="9">
      <x:c r="A9" s="48" t="str">
        <x:v>레벨 수</x:v>
      </x:c>
      <x:c r="B9" s="48" t="n">
        <x:f>COUNTA('Level_Profiles'!$A$5:$A$20)</x:f>
        <x:v>4</x:v>
      </x:c>
      <x:c r="C9" s="48"/>
      <x:c r="D9" s="52"/>
      <x:c r="E9" s="52"/>
      <x:c r="F9" s="52"/>
      <x:c r="G9" s="52"/>
      <x:c r="H9" s="52"/>
    </x:row>
    <x:row r="10">
      <x:c r="A10" s="48" t="str">
        <x:v>오픈 워크아웃</x:v>
      </x:c>
      <x:c r="B10" s="48" t="n">
        <x:f>COUNTA('Open_Workouts'!$A$5:$A$99)</x:f>
        <x:v>39</x:v>
      </x:c>
      <x:c r="C10" s="48"/>
      <x:c r="D10" s="52"/>
      <x:c r="E10" s="52"/>
      <x:c r="F10" s="52"/>
      <x:c r="G10" s="52"/>
      <x:c r="H10" s="52"/>
    </x:row>
    <x:row r="11">
      <x:c r="A11" s="48" t="str">
        <x:v>공식 영상</x:v>
      </x:c>
      <x:c r="B11" s="48" t="n">
        <x:f>COUNTA('Official_Videos'!$A$5:$A$99)</x:f>
        <x:v>19</x:v>
      </x:c>
      <x:c r="C11" s="48"/>
      <x:c r="D11" s="48"/>
      <x:c r="E11" s="48"/>
      <x:c r="F11" s="48"/>
      <x:c r="G11" s="48"/>
      <x:c r="H11" s="48"/>
    </x:row>
    <x:row r="12" ht="48" customHeight="1">
      <x:c r="A12" s="53" t="str">
        <x:v>중요: 이 파일의 레벨별 수치 범위는 공개 근거를 합성한 제품 설계용 시작값입니다. 임상 처방·의료 진단·특정 브랜드 루틴의 복제가 아니며, 베타 데이터로 반드시 코치 검증과 사용자 반응 기반 보정이 필요합니다.</x:v>
      </x:c>
      <x:c r="B12" s="53"/>
      <x:c r="C12" s="53"/>
      <x:c r="D12" s="53"/>
      <x:c r="E12" s="53"/>
      <x:c r="F12" s="53"/>
      <x:c r="G12" s="53"/>
      <x:c r="H12" s="53"/>
    </x:row>
    <x:row r="13">
      <x:c r="A13" s="48"/>
      <x:c r="B13" s="48"/>
      <x:c r="C13" s="48"/>
      <x:c r="D13" s="48"/>
      <x:c r="E13" s="48"/>
      <x:c r="F13" s="48"/>
      <x:c r="G13" s="48"/>
      <x:c r="H13" s="48"/>
    </x:row>
    <x:row r="14">
      <x:c r="A14" s="50" t="str">
        <x:v>DB 시트</x:v>
      </x:c>
      <x:c r="B14" s="50" t="str">
        <x:v>목적</x:v>
      </x:c>
      <x:c r="C14" s="48"/>
      <x:c r="D14" s="48"/>
      <x:c r="E14" s="48"/>
      <x:c r="F14" s="48"/>
      <x:c r="G14" s="48"/>
      <x:c r="H14" s="48"/>
    </x:row>
    <x:row r="15">
      <x:c r="A15" s="48" t="str">
        <x:v>Source_Review</x:v>
      </x:c>
      <x:c r="B15" s="48" t="str">
        <x:v>근거와 한계</x:v>
      </x:c>
      <x:c r="C15" s="48"/>
      <x:c r="D15" s="48"/>
      <x:c r="E15" s="48"/>
      <x:c r="F15" s="48"/>
      <x:c r="G15" s="48"/>
      <x:c r="H15" s="48"/>
    </x:row>
    <x:row r="16">
      <x:c r="A16" s="48" t="str">
        <x:v>Principles</x:v>
      </x:c>
      <x:c r="B16" s="48" t="str">
        <x:v>설계 원칙</x:v>
      </x:c>
      <x:c r="C16" s="48"/>
      <x:c r="D16" s="48"/>
      <x:c r="E16" s="48"/>
      <x:c r="F16" s="48"/>
      <x:c r="G16" s="48"/>
      <x:c r="H16" s="48"/>
    </x:row>
    <x:row r="17">
      <x:c r="A17" s="48" t="str">
        <x:v>Exercise_DB</x:v>
      </x:c>
      <x:c r="B17" s="48" t="str">
        <x:v>운동 카탈로그+오픈 메타데이터</x:v>
      </x:c>
      <x:c r="C17" s="48"/>
      <x:c r="D17" s="48"/>
      <x:c r="E17" s="48"/>
      <x:c r="F17" s="48"/>
      <x:c r="G17" s="48"/>
      <x:c r="H17" s="48"/>
    </x:row>
    <x:row r="18">
      <x:c r="A18" s="48" t="str">
        <x:v>Open_Workouts</x:v>
      </x:c>
      <x:c r="B18" s="48" t="str">
        <x:v>2017~2026 공식 오픈 39개</x:v>
      </x:c>
      <x:c r="C18" s="48"/>
      <x:c r="D18" s="48"/>
      <x:c r="E18" s="48"/>
      <x:c r="F18" s="48"/>
      <x:c r="G18" s="48"/>
      <x:c r="H18" s="48"/>
    </x:row>
    <x:row r="19">
      <x:c r="A19" s="48" t="str">
        <x:v>Open_Movement_Index</x:v>
      </x:c>
      <x:c r="B19" s="48" t="str">
        <x:v>오픈 동작 출현·ID 정규화</x:v>
      </x:c>
      <x:c r="C19" s="48"/>
      <x:c r="D19" s="48"/>
      <x:c r="E19" s="48"/>
      <x:c r="F19" s="48"/>
      <x:c r="G19" s="48"/>
      <x:c r="H19" s="48"/>
    </x:row>
    <x:row r="20">
      <x:c r="A20" s="48" t="str">
        <x:v>Official_Videos</x:v>
      </x:c>
      <x:c r="B20" s="48" t="str">
        <x:v>CrossFit 공식 YouTube 직접 링크</x:v>
      </x:c>
      <x:c r="C20" s="48"/>
      <x:c r="D20" s="48"/>
      <x:c r="E20" s="48"/>
      <x:c r="F20" s="48"/>
      <x:c r="G20" s="48"/>
      <x:c r="H20" s="48"/>
    </x:row>
    <x:row r="21">
      <x:c r="A21" s="48" t="str">
        <x:v>Level_Profiles / Volume_Rules</x:v>
      </x:c>
      <x:c r="B21" s="48" t="str">
        <x:v>4단계 시작값</x:v>
      </x:c>
      <x:c r="C21" s="48"/>
      <x:c r="D21" s="48"/>
      <x:c r="E21" s="48"/>
      <x:c r="F21" s="48"/>
      <x:c r="G21" s="48"/>
      <x:c r="H21" s="48"/>
    </x:row>
    <x:row r="22">
      <x:c r="A22" s="48" t="str">
        <x:v>Templates / Rules / Scaling</x:v>
      </x:c>
      <x:c r="B22" s="48" t="str">
        <x:v>자동 생성 로직</x:v>
      </x:c>
      <x:c r="C22" s="48"/>
      <x:c r="D22" s="48"/>
      <x:c r="E22" s="48"/>
      <x:c r="F22" s="48"/>
      <x:c r="G22" s="48"/>
      <x:c r="H22" s="48"/>
    </x:row>
  </x:sheetData>
  <x:mergeCells>
    <x:mergeCell ref="A1:H1"/>
    <x:mergeCell ref="A2:H2"/>
    <x:mergeCell ref="D4:H4"/>
    <x:mergeCell ref="D5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8" hidden="0" customWidth="1"/>
    <x:col min="4" max="4" width="55" hidden="0" customWidth="1"/>
    <x:col min="5" max="5" width="18" hidden="0" customWidth="1"/>
    <x:col min="6" max="6" width="38" hidden="0" customWidth="1"/>
    <x:col min="7" max="7" width="55" hidden="0" customWidth="1"/>
  </x:cols>
  <x:sheetData>
    <x:row r="1" ht="30" customHeight="1">
      <x:c r="A1" s="54" t="str">
        <x:v>출처 검토</x:v>
      </x:c>
      <x:c r="B1" s="48"/>
      <x:c r="C1" s="48"/>
      <x:c r="D1" s="48"/>
      <x:c r="E1" s="48"/>
      <x:c r="F1" s="48"/>
      <x:c r="G1" s="48"/>
    </x:row>
    <x:row r="2" ht="30" customHeight="1">
      <x:c r="A2" s="55" t="str">
        <x:v>사실·코치 경험·제품 설계 추론을 구분해 감사 가능하게 만든 근거 표</x:v>
      </x:c>
      <x:c r="B2" s="48"/>
      <x:c r="C2" s="48"/>
      <x:c r="D2" s="48"/>
      <x:c r="E2" s="48"/>
      <x:c r="F2" s="48"/>
      <x:c r="G2" s="48"/>
    </x:row>
    <x:row r="3">
      <x:c r="A3" s="48"/>
      <x:c r="B3" s="48"/>
      <x:c r="C3" s="48"/>
      <x:c r="D3" s="48"/>
      <x:c r="E3" s="48"/>
      <x:c r="F3" s="48"/>
      <x:c r="G3" s="48"/>
    </x:row>
    <x:row r="4" ht="32" customHeight="1">
      <x:c r="A4" s="56" t="str">
        <x:v>SourceID</x:v>
      </x:c>
      <x:c r="B4" s="56" t="str">
        <x:v>프로그램/문헌</x:v>
      </x:c>
      <x:c r="C4" s="56" t="str">
        <x:v>자료 유형</x:v>
      </x:c>
      <x:c r="D4" s="56" t="str">
        <x:v>앱에 채택한 핵심</x:v>
      </x:c>
      <x:c r="E4" s="56" t="str">
        <x:v>근거 수준</x:v>
      </x:c>
      <x:c r="F4" s="56" t="str">
        <x:v>적용 한계</x:v>
      </x:c>
      <x:c r="G4" s="56" t="str">
        <x:v>URL</x:v>
      </x:c>
    </x:row>
    <x:row r="5" ht="42" customHeight="1">
      <x:c r="A5" s="57" t="str">
        <x:v>S01</x:v>
      </x:c>
      <x:c r="B5" s="57" t="str">
        <x:v>Box Programming</x:v>
      </x:c>
      <x:c r="C5" s="57" t="str">
        <x:v>프로그램 공식 페이지</x:v>
      </x:c>
      <x:c r="D5" s="57" t="str">
        <x:v>수업 구조: 워밍업, 근력/기술, 메트콘, 쿨다운; 컨쥬게이트 기반의 계획적 변동</x:v>
      </x:c>
      <x:c r="E5" s="57" t="str">
        <x:v>브랜드 설명</x:v>
      </x:c>
      <x:c r="F5" s="57" t="str">
        <x:v>공개 설명만 사용</x:v>
      </x:c>
      <x:c r="G5" s="57" t="str">
        <x:v>https://boxprogramming.com/</x:v>
      </x:c>
    </x:row>
    <x:row r="6" ht="42" customHeight="1">
      <x:c r="A6" s="57" t="str">
        <x:v>S02</x:v>
      </x:c>
      <x:c r="B6" s="57" t="str">
        <x:v>HWPO Flagship</x:v>
      </x:c>
      <x:c r="C6" s="57" t="str">
        <x:v>프로그램 공식 페이지</x:v>
      </x:c>
      <x:c r="D6" s="57" t="str">
        <x:v>4~6일, 근력·컨디셔닝·기술의 점진적 단계, 4주마다 디로드, 60분/풀 트랙</x:v>
      </x:c>
      <x:c r="E6" s="57" t="str">
        <x:v>브랜드 설명</x:v>
      </x:c>
      <x:c r="F6" s="57" t="str">
        <x:v>세부 유료 루틴은 복제하지 않음</x:v>
      </x:c>
      <x:c r="G6" s="57" t="str">
        <x:v>https://www.hwpotraining.com/programs/hwpo-flagship</x:v>
      </x:c>
    </x:row>
    <x:row r="7" ht="42" customHeight="1">
      <x:c r="A7" s="57" t="str">
        <x:v>S03</x:v>
      </x:c>
      <x:c r="B7" s="57" t="str">
        <x:v>StrongLifts 5×5</x:v>
      </x:c>
      <x:c r="C7" s="57" t="str">
        <x:v>공식 가이드</x:v>
      </x:c>
      <x:c r="D7" s="57" t="str">
        <x:v>A/B 교대, 주 3회, 주요 리프트 5×5, 데드리프트 1×5, 성공 시 점진 증량</x:v>
      </x:c>
      <x:c r="E7" s="57" t="str">
        <x:v>브랜드 가이드</x:v>
      </x:c>
      <x:c r="F7" s="57" t="str">
        <x:v>크로스핏 앱에는 근력 블록 원리로만 적용</x:v>
      </x:c>
      <x:c r="G7" s="57" t="str">
        <x:v>https://stronglifts.com/stronglifts-5x5/workout-program/</x:v>
      </x:c>
    </x:row>
    <x:row r="8" ht="42" customHeight="1">
      <x:c r="A8" s="57" t="str">
        <x:v>S04</x:v>
      </x:c>
      <x:c r="B8" s="57" t="str">
        <x:v>Bob Takano: Programming Planning</x:v>
      </x:c>
      <x:c r="C8" s="57" t="str">
        <x:v>코치 원문</x:v>
      </x:c>
      <x:c r="D8" s="57" t="str">
        <x:v>대회 일정에서 역산한 8주(중급)/12주(고급) 매크로사이클</x:v>
      </x:c>
      <x:c r="E8" s="57" t="str">
        <x:v>코치 경험</x:v>
      </x:c>
      <x:c r="F8" s="57" t="str">
        <x:v>역도 경기 준비 문맥</x:v>
      </x:c>
      <x:c r="G8" s="57" t="str">
        <x:v>https://www.takanoweightlifting.com/new-blogs/2020/3/31/programming-planning</x:v>
      </x:c>
    </x:row>
    <x:row r="9" ht="42" customHeight="1">
      <x:c r="A9" s="57" t="str">
        <x:v>S05</x:v>
      </x:c>
      <x:c r="B9" s="57" t="str">
        <x:v>Bob Takano: Exercise Order and Selection</x:v>
      </x:c>
      <x:c r="C9" s="57" t="str">
        <x:v>코치 원문</x:v>
      </x:c>
      <x:c r="D9" s="57" t="str">
        <x:v>폭발성·속도·기술 복잡도가 높은 운동을 먼저 배치; 당기기·스쿼트·오버헤드의 균형</x:v>
      </x:c>
      <x:c r="E9" s="57" t="str">
        <x:v>코치 경험</x:v>
      </x:c>
      <x:c r="F9" s="57" t="str">
        <x:v>세션 순서 규칙의 근거</x:v>
      </x:c>
      <x:c r="G9" s="57" t="str">
        <x:v>https://www.takanoweightlifting.com/new-blogs/2020/3/17/exercise-order-and-selection</x:v>
      </x:c>
    </x:row>
    <x:row r="10" ht="42" customHeight="1">
      <x:c r="A10" s="57" t="str">
        <x:v>S06</x:v>
      </x:c>
      <x:c r="B10" s="57" t="str">
        <x:v>Catalyst: Week Structure</x:v>
      </x:c>
      <x:c r="C10" s="57" t="str">
        <x:v>코치 원문</x:v>
      </x:c>
      <x:c r="D10" s="57" t="str">
        <x:v>4일 예시 월·화·목·토; 5일 큰 날/작은 날 교대; 부담을 주중에 분산</x:v>
      </x:c>
      <x:c r="E10" s="57" t="str">
        <x:v>코치 경험</x:v>
      </x:c>
      <x:c r="F10" s="57" t="str">
        <x:v>역도 중심 문맥</x:v>
      </x:c>
      <x:c r="G10" s="57" t="str">
        <x:v>https://www.catalystathletics.com/article/2232/Weightlifting-Program-Design-The-Week-Structure/</x:v>
      </x:c>
    </x:row>
    <x:row r="11" ht="42" customHeight="1">
      <x:c r="A11" s="57" t="str">
        <x:v>S07</x:v>
      </x:c>
      <x:c r="B11" s="57" t="str">
        <x:v>Catalyst: Exercise Selection</x:v>
      </x:c>
      <x:c r="C11" s="57" t="str">
        <x:v>코치 원문</x:v>
      </x:c>
      <x:c r="D11" s="57" t="str">
        <x:v>기술 운동과 훈련 운동 구분; 워밍업·콤플렉스로 결함 교정 시 불필요한 볼륨 억제</x:v>
      </x:c>
      <x:c r="E11" s="57" t="str">
        <x:v>코치 경험</x:v>
      </x:c>
      <x:c r="F11" s="57" t="str">
        <x:v>운동 선택 규칙의 근거</x:v>
      </x:c>
      <x:c r="G11" s="57" t="str">
        <x:v>https://www.catalystathletics.com/article/2256/Exercise-Selection-for-Technical-Improvement/</x:v>
      </x:c>
    </x:row>
    <x:row r="12" ht="42" customHeight="1">
      <x:c r="A12" s="57" t="str">
        <x:v>S08</x:v>
      </x:c>
      <x:c r="B12" s="57" t="str">
        <x:v>Catalyst: Do More with Less</x:v>
      </x:c>
      <x:c r="C12" s="57" t="str">
        <x:v>코치 원문</x:v>
      </x:c>
      <x:c r="D12" s="57" t="str">
        <x:v>회복 능력을 넘지 않도록 다목적 콤플렉스로 여러 요구를 통합</x:v>
      </x:c>
      <x:c r="E12" s="57" t="str">
        <x:v>코치 경험</x:v>
      </x:c>
      <x:c r="F12" s="57" t="str">
        <x:v>볼륨 절약 원칙</x:v>
      </x:c>
      <x:c r="G12" s="57" t="str">
        <x:v>https://www.catalystathletics.com/article/2031/Multidimensionality-in-Weightlifting-Programming-Do-More-wit/</x:v>
      </x:c>
    </x:row>
    <x:row r="13" ht="42" customHeight="1">
      <x:c r="A13" s="57" t="str">
        <x:v>S09</x:v>
      </x:c>
      <x:c r="B13" s="57" t="str">
        <x:v>Torokhtiy: Training Volume</x:v>
      </x:c>
      <x:c r="C13" s="57" t="str">
        <x:v>코치/브랜드 가이드</x:v>
      </x:c>
      <x:c r="D13" s="57" t="str">
        <x:v>역도 경험별 빈도 예시: 초보 3회, 중급 4~5회, 국가급 5~8회, 국제급 8~15회</x:v>
      </x:c>
      <x:c r="E13" s="57" t="str">
        <x:v>가이드</x:v>
      </x:c>
      <x:c r="F13" s="57" t="str">
        <x:v>본 앱은 주 4~5일 제한으로 보수적으로 변환</x:v>
      </x:c>
      <x:c r="G13" s="57" t="str">
        <x:v>https://torokhtiy.com/blogs/guides/what-is-training-volume</x:v>
      </x:c>
    </x:row>
    <x:row r="14" ht="42" customHeight="1">
      <x:c r="A14" s="57" t="str">
        <x:v>S10</x:v>
      </x:c>
      <x:c r="B14" s="57" t="str">
        <x:v>Torokhtiy: Volume vs Intensity</x:v>
      </x:c>
      <x:c r="C14" s="57" t="str">
        <x:v>코치/브랜드 가이드</x:v>
      </x:c>
      <x:c r="D14" s="57" t="str">
        <x:v>볼륨과 강도는 목표·단계에 따라 조절; 중간 강도 고볼륨의 용도</x:v>
      </x:c>
      <x:c r="E14" s="57" t="str">
        <x:v>가이드</x:v>
      </x:c>
      <x:c r="F14" s="57" t="str">
        <x:v>직접 처방보다 개념 참고</x:v>
      </x:c>
      <x:c r="G14" s="57" t="str">
        <x:v>https://torokhtiy.com/blogs/guides/volume-vs-intensity</x:v>
      </x:c>
    </x:row>
    <x:row r="15" ht="42" customHeight="1">
      <x:c r="A15" s="57" t="str">
        <x:v>S11</x:v>
      </x:c>
      <x:c r="B15" s="57" t="str">
        <x:v>CrossFit: Programming Basics Part 1</x:v>
      </x:c>
      <x:c r="C15" s="57" t="str">
        <x:v>공식 교육 자료</x:v>
      </x:c>
      <x:c r="D15" s="57" t="str">
        <x:v>모달리티, 기능, 부하, 반복량, 시간영역, 커플릿/트리플릿, 자극 보존 스케일링</x:v>
      </x:c>
      <x:c r="E15" s="57" t="str">
        <x:v>교육 자료</x:v>
      </x:c>
      <x:c r="F15" s="57" t="str">
        <x:v>메트콘 분류의 주 근거</x:v>
      </x:c>
      <x:c r="G15" s="57" t="str">
        <x:v>https://www.crossfit.com/pro-coach/programming-basics-part-1</x:v>
      </x:c>
    </x:row>
    <x:row r="16" ht="42" customHeight="1">
      <x:c r="A16" s="57" t="str">
        <x:v>S12</x:v>
      </x:c>
      <x:c r="B16" s="57" t="str">
        <x:v>CrossFit Level 1 Training Guide</x:v>
      </x:c>
      <x:c r="C16" s="57" t="str">
        <x:v>공식 교육 자료</x:v>
      </x:c>
      <x:c r="D16" s="57" t="str">
        <x:v>Mechanics → Consistency → Intensity</x:v>
      </x:c>
      <x:c r="E16" s="57" t="str">
        <x:v>교육 자료</x:v>
      </x:c>
      <x:c r="F16" s="57" t="str">
        <x:v>고강도 진입 게이트</x:v>
      </x:c>
      <x:c r="G16" s="57" t="str">
        <x:v>https://library.crossfit.com/free/pdf/CFJ_English_Level1_TrainingGuide.pdf</x:v>
      </x:c>
    </x:row>
    <x:row r="17" ht="42" customHeight="1">
      <x:c r="A17" s="57" t="str">
        <x:v>S13</x:v>
      </x:c>
      <x:c r="B17" s="57" t="str">
        <x:v>ACSM 2026 Position Stand</x:v>
      </x:c>
      <x:c r="C17" s="57" t="str">
        <x:v>공식 포지션 스탠드</x:v>
      </x:c>
      <x:c r="D17" s="57" t="str">
        <x:v>주요 근육 주 2회 이상; 근력 2~3세트/세션·고부하; 파워 30~70%; 비대 주 10세트 이상 근거</x:v>
      </x:c>
      <x:c r="E17" s="57" t="str">
        <x:v>137개 체계적 문헌고찰의 umbrella review</x:v>
      </x:c>
      <x:c r="F17" s="57" t="str">
        <x:v>건강한 성인 집단 수준 근거; 개인화 필요</x:v>
      </x:c>
      <x:c r="G17" s="57" t="str">
        <x:v>https://pmc.ncbi.nlm.nih.gov/articles/PMC12965823/</x:v>
      </x:c>
    </x:row>
    <x:row r="18" ht="42" customHeight="1">
      <x:c r="A18" s="57" t="str">
        <x:v>S14</x:v>
      </x:c>
      <x:c r="B18" s="57" t="str">
        <x:v>Catalyst Athletics Exercise Library</x:v>
      </x:c>
      <x:c r="C18" s="57" t="str">
        <x:v>공식 운동 라이브러리</x:v>
      </x:c>
      <x:c r="D18" s="57" t="str">
        <x:v>역도 동작·변형의 명칭 및 기술 참조</x:v>
      </x:c>
      <x:c r="E18" s="57" t="str">
        <x:v>운동 라이브러리</x:v>
      </x:c>
      <x:c r="F18" s="57" t="str">
        <x:v>앱 DB의 역도 계열 명명 근거</x:v>
      </x:c>
      <x:c r="G18" s="57" t="str">
        <x:v>https://www.catalystathletics.com/exercises/</x:v>
      </x:c>
    </x:row>
    <x:row r="19" ht="42" customHeight="1">
      <x:c r="A19" s="57" t="str">
        <x:v>S15</x:v>
      </x:c>
      <x:c r="B19" s="57" t="str">
        <x:v>CrossFit Movement Library</x:v>
      </x:c>
      <x:c r="C19" s="57" t="str">
        <x:v>공식 운동 라이브러리</x:v>
      </x:c>
      <x:c r="D19" s="57" t="str">
        <x:v>크로스핏 주요 체조·역도·모노스트럭처럴 동작 참조</x:v>
      </x:c>
      <x:c r="E19" s="57" t="str">
        <x:v>운동 라이브러리</x:v>
      </x:c>
      <x:c r="F19" s="57" t="str">
        <x:v>앱 DB의 일반 동작 명명 근거</x:v>
      </x:c>
      <x:c r="G19" s="57" t="str">
        <x:v>https://www.crossfit.com/movements/</x:v>
      </x:c>
    </x:row>
    <x:row r="20" ht="42" customHeight="1">
      <x:c r="A20" s="57" t="str">
        <x:v>S16</x:v>
      </x:c>
      <x:c r="B20" s="57" t="str">
        <x:v>Bob Takano: Homeostasis</x:v>
      </x:c>
      <x:c r="C20" s="57" t="str">
        <x:v>코치 원문</x:v>
      </x:c>
      <x:c r="D20" s="57" t="str">
        <x:v>적응 가능한 유스트레스와 회복 불가능한 디스트레스 구분; 자극·휴식·영양의 상호작용</x:v>
      </x:c>
      <x:c r="E20" s="57" t="str">
        <x:v>코치 경험/생리 개념</x:v>
      </x:c>
      <x:c r="F20" s="57" t="str">
        <x:v>피로 가드레일의 근거</x:v>
      </x:c>
      <x:c r="G20" s="57" t="str">
        <x:v>https://www.catalystathletics.com/article/1810/Homeostasis-The-Basis-of-Training/</x:v>
      </x:c>
    </x:row>
    <x:row r="21" ht="42" customHeight="1">
      <x:c r="A21" s="57" t="str">
        <x:v>S17</x:v>
      </x:c>
      <x:c r="B21" s="57" t="str">
        <x:v>Torokhtiy Full Training Set 3.0</x:v>
      </x:c>
      <x:c r="C21" s="57" t="str">
        <x:v>프로그램 공식 페이지</x:v>
      </x:c>
      <x:c r="D21" s="57" t="str">
        <x:v>주 4회 메인 + 1회 저강도 회복일 예시</x:v>
      </x:c>
      <x:c r="E21" s="57" t="str">
        <x:v>브랜드 설명</x:v>
      </x:c>
      <x:c r="F21" s="57" t="str">
        <x:v>회복일 모델 참고</x:v>
      </x:c>
      <x:c r="G21" s="57" t="str">
        <x:v>https://store.torokhtiy.com/products/full-set-3-0</x:v>
      </x:c>
    </x:row>
    <x:row r="22" ht="42" customHeight="1">
      <x:c r="A22" s="57" t="str">
        <x:v>S18</x:v>
      </x:c>
      <x:c r="B22" s="57" t="str">
        <x:v>CrossFit Essentials: Movements</x:v>
      </x:c>
      <x:c r="C22" s="57" t="str">
        <x:v>공식 운동 라이브러리</x:v>
      </x:c>
      <x:c r="D22" s="57" t="str">
        <x:v>공식 동작 명명·기술 학습의 현재 진입점</x:v>
      </x:c>
      <x:c r="E22" s="57" t="str">
        <x:v>운동 라이브러리</x:v>
      </x:c>
      <x:c r="F22" s="57" t="str">
        <x:v>동적 카탈로그이므로 수집일과 직접 영상 URL을 함께 보관</x:v>
      </x:c>
      <x:c r="G22" s="57" t="str">
        <x:v>https://www.crossfit.com/essentials/movements</x:v>
      </x:c>
    </x:row>
    <x:row r="23" ht="42" customHeight="1">
      <x:c r="A23" s="57" t="str">
        <x:v>S19</x:v>
      </x:c>
      <x:c r="B23" s="57" t="str">
        <x:v>CrossFit 공식 YouTube</x:v>
      </x:c>
      <x:c r="C23" s="57" t="str">
        <x:v>공식 영상 채널</x:v>
      </x:c>
      <x:c r="D23" s="57" t="str">
        <x:v>공개 동작 데모·코칭 영상 연결</x:v>
      </x:c>
      <x:c r="E23" s="57" t="str">
        <x:v>공식 영상</x:v>
      </x:c>
      <x:c r="F23" s="57" t="str">
        <x:v>영상은 삭제·교체될 수 있어 URL 검증일 필요</x:v>
      </x:c>
      <x:c r="G23" s="57" t="str">
        <x:v>https://www.youtube.com/@CrossFit</x:v>
      </x:c>
    </x:row>
    <x:row r="24" ht="42" customHeight="1">
      <x:c r="A24" s="57" t="str">
        <x:v>S20</x:v>
      </x:c>
      <x:c r="B24" s="57" t="str">
        <x:v>2017 CrossFit Open</x:v>
      </x:c>
      <x:c r="C24" s="57" t="str">
        <x:v>공식 대회 워크아웃</x:v>
      </x:c>
      <x:c r="D24" s="57" t="str">
        <x:v>17.1~17.5 Individual Men Rx 동작·형식</x:v>
      </x:c>
      <x:c r="E24" s="57" t="str">
        <x:v>공식 경기 기록</x:v>
      </x:c>
      <x:c r="F24" s="57" t="str">
        <x:v>부하·표준은 디비전별 원문 확인</x:v>
      </x:c>
      <x:c r="G24" s="57" t="str">
        <x:v>https://games.crossfit.com/workouts/open/2017</x:v>
      </x:c>
    </x:row>
    <x:row r="25" ht="42" customHeight="1">
      <x:c r="A25" s="57" t="str">
        <x:v>S21</x:v>
      </x:c>
      <x:c r="B25" s="57" t="str">
        <x:v>2018 CrossFit Open</x:v>
      </x:c>
      <x:c r="C25" s="57" t="str">
        <x:v>공식 대회 워크아웃</x:v>
      </x:c>
      <x:c r="D25" s="57" t="str">
        <x:v>18.1~18.5 Individual Men Rx 동작·형식</x:v>
      </x:c>
      <x:c r="E25" s="57" t="str">
        <x:v>공식 경기 기록</x:v>
      </x:c>
      <x:c r="F25" s="57" t="str">
        <x:v>18.2a 포함; 디비전별 원문 확인</x:v>
      </x:c>
      <x:c r="G25" s="57" t="str">
        <x:v>https://games.crossfit.com/workouts/open/2018</x:v>
      </x:c>
    </x:row>
    <x:row r="26" ht="42" customHeight="1">
      <x:c r="A26" s="57" t="str">
        <x:v>S22</x:v>
      </x:c>
      <x:c r="B26" s="57" t="str">
        <x:v>2019 CrossFit Open</x:v>
      </x:c>
      <x:c r="C26" s="57" t="str">
        <x:v>공식 대회 워크아웃</x:v>
      </x:c>
      <x:c r="D26" s="57" t="str">
        <x:v>19.1~19.5 Individual Men Rx 동작·형식</x:v>
      </x:c>
      <x:c r="E26" s="57" t="str">
        <x:v>공식 경기 기록</x:v>
      </x:c>
      <x:c r="F26" s="57" t="str">
        <x:v>디비전별 원문 확인</x:v>
      </x:c>
      <x:c r="G26" s="57" t="str">
        <x:v>https://games.crossfit.com/workouts/open/2019</x:v>
      </x:c>
    </x:row>
    <x:row r="27" ht="42" customHeight="1">
      <x:c r="A27" s="57" t="str">
        <x:v>S23</x:v>
      </x:c>
      <x:c r="B27" s="57" t="str">
        <x:v>2020 CrossFit Open</x:v>
      </x:c>
      <x:c r="C27" s="57" t="str">
        <x:v>공식 대회 워크아웃</x:v>
      </x:c>
      <x:c r="D27" s="57" t="str">
        <x:v>20.1~20.5 Individual Men Rx 동작·형식</x:v>
      </x:c>
      <x:c r="E27" s="57" t="str">
        <x:v>공식 경기 기록</x:v>
      </x:c>
      <x:c r="F27" s="57" t="str">
        <x:v>디비전별 원문 확인</x:v>
      </x:c>
      <x:c r="G27" s="57" t="str">
        <x:v>https://games.crossfit.com/workouts/open/2020</x:v>
      </x:c>
    </x:row>
    <x:row r="28" ht="42" customHeight="1">
      <x:c r="A28" s="57" t="str">
        <x:v>S24</x:v>
      </x:c>
      <x:c r="B28" s="57" t="str">
        <x:v>2021 CrossFit Open</x:v>
      </x:c>
      <x:c r="C28" s="57" t="str">
        <x:v>공식 대회 워크아웃</x:v>
      </x:c>
      <x:c r="D28" s="57" t="str">
        <x:v>21.1~21.4 Individual Men Rx 동작·형식</x:v>
      </x:c>
      <x:c r="E28" s="57" t="str">
        <x:v>공식 경기 기록</x:v>
      </x:c>
      <x:c r="F28" s="57" t="str">
        <x:v>21.4 리프트 콤플렉스 포함</x:v>
      </x:c>
      <x:c r="G28" s="57" t="str">
        <x:v>https://games.crossfit.com/workouts/open/2021</x:v>
      </x:c>
    </x:row>
    <x:row r="29" ht="42" customHeight="1">
      <x:c r="A29" s="57" t="str">
        <x:v>S25</x:v>
      </x:c>
      <x:c r="B29" s="57" t="str">
        <x:v>2022 CrossFit Open</x:v>
      </x:c>
      <x:c r="C29" s="57" t="str">
        <x:v>공식 대회 워크아웃</x:v>
      </x:c>
      <x:c r="D29" s="57" t="str">
        <x:v>22.1~22.3 Individual Men Rx 동작·형식</x:v>
      </x:c>
      <x:c r="E29" s="57" t="str">
        <x:v>공식 경기 기록</x:v>
      </x:c>
      <x:c r="F29" s="57" t="str">
        <x:v>디비전별 원문 확인</x:v>
      </x:c>
      <x:c r="G29" s="57" t="str">
        <x:v>https://games.crossfit.com/workouts/open/2022</x:v>
      </x:c>
    </x:row>
    <x:row r="30" ht="42" customHeight="1">
      <x:c r="A30" s="57" t="str">
        <x:v>S26</x:v>
      </x:c>
      <x:c r="B30" s="57" t="str">
        <x:v>2023 CrossFit Open</x:v>
      </x:c>
      <x:c r="C30" s="57" t="str">
        <x:v>공식 대회 워크아웃</x:v>
      </x:c>
      <x:c r="D30" s="57" t="str">
        <x:v>23.1~23.3 Individual Men Rx 동작·형식</x:v>
      </x:c>
      <x:c r="E30" s="57" t="str">
        <x:v>공식 경기 기록</x:v>
      </x:c>
      <x:c r="F30" s="57" t="str">
        <x:v>23.2A/B 포함</x:v>
      </x:c>
      <x:c r="G30" s="57" t="str">
        <x:v>https://games.crossfit.com/workouts/open/2023</x:v>
      </x:c>
    </x:row>
    <x:row r="31" ht="42" customHeight="1">
      <x:c r="A31" s="57" t="str">
        <x:v>S27</x:v>
      </x:c>
      <x:c r="B31" s="57" t="str">
        <x:v>2024 CrossFit Open</x:v>
      </x:c>
      <x:c r="C31" s="57" t="str">
        <x:v>공식 대회 워크아웃</x:v>
      </x:c>
      <x:c r="D31" s="57" t="str">
        <x:v>24.1~24.3 Individual Men Rx 동작·형식</x:v>
      </x:c>
      <x:c r="E31" s="57" t="str">
        <x:v>공식 경기 기록</x:v>
      </x:c>
      <x:c r="F31" s="57" t="str">
        <x:v>디비전별 원문 확인</x:v>
      </x:c>
      <x:c r="G31" s="57" t="str">
        <x:v>https://games.crossfit.com/workouts/open/2024</x:v>
      </x:c>
    </x:row>
    <x:row r="32" ht="42" customHeight="1">
      <x:c r="A32" s="57" t="str">
        <x:v>S28</x:v>
      </x:c>
      <x:c r="B32" s="57" t="str">
        <x:v>2025 CrossFit Open</x:v>
      </x:c>
      <x:c r="C32" s="57" t="str">
        <x:v>공식 대회 워크아웃</x:v>
      </x:c>
      <x:c r="D32" s="57" t="str">
        <x:v>25.1~25.3 Individual Men Rx 동작·형식</x:v>
      </x:c>
      <x:c r="E32" s="57" t="str">
        <x:v>공식 경기 기록</x:v>
      </x:c>
      <x:c r="F32" s="57" t="str">
        <x:v>25.2는 22.3 반복</x:v>
      </x:c>
      <x:c r="G32" s="57" t="str">
        <x:v>https://games.crossfit.com/workouts/open/2025</x:v>
      </x:c>
    </x:row>
    <x:row r="33">
      <x:c r="A33" s="48" t="str">
        <x:v>S29</x:v>
      </x:c>
      <x:c r="B33" s="48" t="str">
        <x:v>2026 CrossFit Open</x:v>
      </x:c>
      <x:c r="C33" s="48" t="str">
        <x:v>공식 대회 워크아웃</x:v>
      </x:c>
      <x:c r="D33" s="48" t="str">
        <x:v>26.1~26.3 Individual Men Rx 동작·형식</x:v>
      </x:c>
      <x:c r="E33" s="48" t="str">
        <x:v>공식 경기 기록</x:v>
      </x:c>
      <x:c r="F33" s="48" t="str">
        <x:v>2026-08-13 확인</x:v>
      </x:c>
      <x:c r="G33" s="48" t="str">
        <x:v>https://games.crossfit.com/workouts/open/2026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d2bd5e1a2f71477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52" hidden="0" customWidth="1"/>
    <x:col min="4" max="4" width="58" hidden="0" customWidth="1"/>
    <x:col min="5" max="5" width="14" hidden="0" customWidth="1"/>
    <x:col min="6" max="6" width="14" hidden="0" customWidth="1"/>
  </x:cols>
  <x:sheetData>
    <x:row r="1" ht="30" customHeight="1">
      <x:c r="A1" s="54" t="str">
        <x:v>프로그래밍 원칙</x:v>
      </x:c>
      <x:c r="B1" s="48"/>
      <x:c r="C1" s="48"/>
      <x:c r="D1" s="48"/>
      <x:c r="E1" s="48"/>
      <x:c r="F1" s="48"/>
    </x:row>
    <x:row r="2" ht="30" customHeight="1">
      <x:c r="A2" s="55" t="str">
        <x:v>각 원칙의 근거와 앱 구현 문장을 분리</x:v>
      </x:c>
      <x:c r="B2" s="48"/>
      <x:c r="C2" s="48"/>
      <x:c r="D2" s="48"/>
      <x:c r="E2" s="48"/>
      <x:c r="F2" s="48"/>
    </x:row>
    <x:row r="3">
      <x:c r="A3" s="48"/>
      <x:c r="B3" s="48"/>
      <x:c r="C3" s="48"/>
      <x:c r="D3" s="48"/>
      <x:c r="E3" s="48"/>
      <x:c r="F3" s="48"/>
    </x:row>
    <x:row r="4" ht="32" customHeight="1">
      <x:c r="A4" s="56" t="str">
        <x:v>RuleID</x:v>
      </x:c>
      <x:c r="B4" s="56" t="str">
        <x:v>영역</x:v>
      </x:c>
      <x:c r="C4" s="56" t="str">
        <x:v>규칙</x:v>
      </x:c>
      <x:c r="D4" s="56" t="str">
        <x:v>앱 구현 메모</x:v>
      </x:c>
      <x:c r="E4" s="56" t="str">
        <x:v>SourceID</x:v>
      </x:c>
      <x:c r="F4" s="56" t="str">
        <x:v>분류</x:v>
      </x:c>
    </x:row>
    <x:row r="5" ht="42" customHeight="1">
      <x:c r="A5" s="57" t="str">
        <x:v>P01</x:v>
      </x:c>
      <x:c r="B5" s="57" t="str">
        <x:v>세션 구조</x:v>
      </x:c>
      <x:c r="C5" s="57" t="str">
        <x:v>워밍업 → 기술/파워 → 주근력 → 보조 → 메트콘 → 쿨다운</x:v>
      </x:c>
      <x:c r="D5" s="57" t="str">
        <x:v>폭발성·복잡도가 높은 과제를 피로 전에 수행한다.</x:v>
      </x:c>
      <x:c r="E5" s="57" t="str">
        <x:v>S01,S05</x:v>
      </x:c>
      <x:c r="F5" s="57" t="str">
        <x:v>근거</x:v>
      </x:c>
    </x:row>
    <x:row r="6" ht="42" customHeight="1">
      <x:c r="A6" s="57" t="str">
        <x:v>P02</x:v>
      </x:c>
      <x:c r="B6" s="57" t="str">
        <x:v>자극 보존</x:v>
      </x:c>
      <x:c r="C6" s="57" t="str">
        <x:v>스케일링 시 시간영역·기능·상대 부하·반복 연속 가능 범위를 먼저 보존</x:v>
      </x:c>
      <x:c r="D6" s="57" t="str">
        <x:v>운동명보다 의도된 자극이 우선이다.</x:v>
      </x:c>
      <x:c r="E6" s="57" t="str">
        <x:v>S11</x:v>
      </x:c>
      <x:c r="F6" s="57" t="str">
        <x:v>근거</x:v>
      </x:c>
    </x:row>
    <x:row r="7" ht="42" customHeight="1">
      <x:c r="A7" s="57" t="str">
        <x:v>P03</x:v>
      </x:c>
      <x:c r="B7" s="57" t="str">
        <x:v>진입 게이트</x:v>
      </x:c>
      <x:c r="C7" s="57" t="str">
        <x:v>Mechanics → Consistency → Intensity</x:v>
      </x:c>
      <x:c r="D7" s="57" t="str">
        <x:v>기술 기준 미달 시 부하·속도·복잡도를 동시에 올리지 않는다.</x:v>
      </x:c>
      <x:c r="E7" s="57" t="str">
        <x:v>S12</x:v>
      </x:c>
      <x:c r="F7" s="57" t="str">
        <x:v>근거</x:v>
      </x:c>
    </x:row>
    <x:row r="8" ht="42" customHeight="1">
      <x:c r="A8" s="57" t="str">
        <x:v>P04</x:v>
      </x:c>
      <x:c r="B8" s="57" t="str">
        <x:v>주간 파형</x:v>
      </x:c>
      <x:c r="C8" s="57" t="str">
        <x:v>큰 날 다음에는 작은 날 또는 휴식일</x:v>
      </x:c>
      <x:c r="D8" s="57" t="str">
        <x:v>큰 날은 무거운 클래식 리프트·풀·스쿼트, 작은 날은 기술·스피드·오버헤드·저강도.</x:v>
      </x:c>
      <x:c r="E8" s="57" t="str">
        <x:v>S06</x:v>
      </x:c>
      <x:c r="F8" s="57" t="str">
        <x:v>근거</x:v>
      </x:c>
    </x:row>
    <x:row r="9" ht="42" customHeight="1">
      <x:c r="A9" s="57" t="str">
        <x:v>P05</x:v>
      </x:c>
      <x:c r="B9" s="57" t="str">
        <x:v>단순성</x:v>
      </x:c>
      <x:c r="C9" s="57" t="str">
        <x:v>메트콘은 주로 커플릿/트리플릿과 보완적 패턴</x:v>
      </x:c>
      <x:c r="D9" s="57" t="str">
        <x:v>지나친 동작 수보다 반복 노출과 강도를 확보한다.</x:v>
      </x:c>
      <x:c r="E9" s="57" t="str">
        <x:v>S11</x:v>
      </x:c>
      <x:c r="F9" s="57" t="str">
        <x:v>근거</x:v>
      </x:c>
    </x:row>
    <x:row r="10" ht="42" customHeight="1">
      <x:c r="A10" s="57" t="str">
        <x:v>P06</x:v>
      </x:c>
      <x:c r="B10" s="57" t="str">
        <x:v>점진 과부하</x:v>
      </x:c>
      <x:c r="C10" s="57" t="str">
        <x:v>성공한 패턴에만 소폭 증량하고 실패 시 유지/감량/볼륨 축소</x:v>
      </x:c>
      <x:c r="D10" s="57" t="str">
        <x:v>초급 근력 블록은 5×5 원리를 제한적으로 활용한다.</x:v>
      </x:c>
      <x:c r="E10" s="57" t="str">
        <x:v>S03,S13</x:v>
      </x:c>
      <x:c r="F10" s="57" t="str">
        <x:v>근거+설계</x:v>
      </x:c>
    </x:row>
    <x:row r="11" ht="42" customHeight="1">
      <x:c r="A11" s="57" t="str">
        <x:v>P07</x:v>
      </x:c>
      <x:c r="B11" s="57" t="str">
        <x:v>블록화</x:v>
      </x:c>
      <x:c r="C11" s="57" t="str">
        <x:v>여러 주의 목표를 정하고 테스트/경기에서 역산</x:v>
      </x:c>
      <x:c r="D11" s="57" t="str">
        <x:v>일일 무작위가 아니라 4주 메조사이클과 8~12주 거시주기를 사용한다.</x:v>
      </x:c>
      <x:c r="E11" s="57" t="str">
        <x:v>S02,S04</x:v>
      </x:c>
      <x:c r="F11" s="57" t="str">
        <x:v>근거</x:v>
      </x:c>
    </x:row>
    <x:row r="12" ht="42" customHeight="1">
      <x:c r="A12" s="57" t="str">
        <x:v>P08</x:v>
      </x:c>
      <x:c r="B12" s="57" t="str">
        <x:v>디로드</x:v>
      </x:c>
      <x:c r="C12" s="57" t="str">
        <x:v>기본값은 4주차 볼륨 60~70%, 강도는 기술 수준에 따라 유지 또는 5~10% 감량</x:v>
      </x:c>
      <x:c r="D12" s="57" t="str">
        <x:v>고정 의무가 아니라 피로 지표로 앞당길 수 있다.</x:v>
      </x:c>
      <x:c r="E12" s="57" t="str">
        <x:v>S02,S16</x:v>
      </x:c>
      <x:c r="F12" s="57" t="str">
        <x:v>근거+설계</x:v>
      </x:c>
    </x:row>
    <x:row r="13" ht="42" customHeight="1">
      <x:c r="A13" s="57" t="str">
        <x:v>P09</x:v>
      </x:c>
      <x:c r="B13" s="57" t="str">
        <x:v>볼륨 분리 장부</x:v>
      </x:c>
      <x:c r="C13" s="57" t="str">
        <x:v>근력 하드세트, 역도 품질반복, 고강도 분, 기술 분, 충격 접촉을 별도 추적</x:v>
      </x:c>
      <x:c r="D13" s="57" t="str">
        <x:v>서로 다른 스트레스를 하나의 점수로 합치지 않는다.</x:v>
      </x:c>
      <x:c r="E13" s="57" t="str">
        <x:v>S09,S13,S16</x:v>
      </x:c>
      <x:c r="F13" s="57" t="str">
        <x:v>설계</x:v>
      </x:c>
    </x:row>
    <x:row r="14" ht="42" customHeight="1">
      <x:c r="A14" s="57" t="str">
        <x:v>P10</x:v>
      </x:c>
      <x:c r="B14" s="57" t="str">
        <x:v>회복 능력</x:v>
      </x:c>
      <x:c r="C14" s="57" t="str">
        <x:v>최소 유효량에서 시작해 반응으로 증가</x:v>
      </x:c>
      <x:c r="D14" s="57" t="str">
        <x:v>과도한 추가 운동보다 콤플렉스와 워밍업에 교정 드릴을 통합한다.</x:v>
      </x:c>
      <x:c r="E14" s="57" t="str">
        <x:v>S07,S08,S16</x:v>
      </x:c>
      <x:c r="F14" s="57" t="str">
        <x:v>근거</x:v>
      </x:c>
    </x:row>
    <x:row r="15" ht="42" customHeight="1">
      <x:c r="A15" s="57" t="str">
        <x:v>P11</x:v>
      </x:c>
      <x:c r="B15" s="57" t="str">
        <x:v>근력 기준</x:v>
      </x:c>
      <x:c r="C15" s="57" t="str">
        <x:v>주요 근육군은 주 2회 이상 노출; 핵심 리프트는 세션 초반</x:v>
      </x:c>
      <x:c r="D15" s="57" t="str">
        <x:v>2~3 작업세트도 근력 향상에 유효하며 추가량은 수익 체감이 있다.</x:v>
      </x:c>
      <x:c r="E15" s="57" t="str">
        <x:v>S13</x:v>
      </x:c>
      <x:c r="F15" s="57" t="str">
        <x:v>근거</x:v>
      </x:c>
    </x:row>
    <x:row r="16" ht="42" customHeight="1">
      <x:c r="A16" s="57" t="str">
        <x:v>P12</x:v>
      </x:c>
      <x:c r="B16" s="57" t="str">
        <x:v>파워 기준</x:v>
      </x:c>
      <x:c r="C16" s="57" t="str">
        <x:v>올림픽 리프팅/점프는 낮거나 중간 반복량과 빠른 구심성</x:v>
      </x:c>
      <x:c r="D16" s="57" t="str">
        <x:v>기술 실패 전 세트를 종료하고 피로 상태 최대중량을 금지한다.</x:v>
      </x:c>
      <x:c r="E16" s="57" t="str">
        <x:v>S05,S13</x:v>
      </x:c>
      <x:c r="F16" s="57" t="str">
        <x:v>근거+안전</x:v>
      </x:c>
    </x:row>
    <x:row r="17" ht="42" customHeight="1">
      <x:c r="A17" s="57" t="str">
        <x:v>P13</x:v>
      </x:c>
      <x:c r="B17" s="57" t="str">
        <x:v>부하 분류</x:v>
      </x:c>
      <x:c r="C17" s="57" t="str">
        <x:v>무부하, 가벼움(20+ 연속), 중간(6~20 연속), 무거움(1~5 연속)</x:v>
      </x:c>
      <x:c r="D17" s="57" t="str">
        <x:v>Rx 중량 대신 개인 연속반복 능력으로 상대 강도를 결정한다.</x:v>
      </x:c>
      <x:c r="E17" s="57" t="str">
        <x:v>S11</x:v>
      </x:c>
      <x:c r="F17" s="57" t="str">
        <x:v>근거</x:v>
      </x:c>
    </x:row>
    <x:row r="18" ht="42" customHeight="1">
      <x:c r="A18" s="57" t="str">
        <x:v>P14</x:v>
      </x:c>
      <x:c r="B18" s="57" t="str">
        <x:v>시간영역</x:v>
      </x:c>
      <x:c r="C18" s="57" t="str">
        <x:v>매우 짧음 &lt;5분, 짧음 5~10분, 중간 11~20분, 김 20분+</x:v>
      </x:c>
      <x:c r="D18" s="57" t="str">
        <x:v>주간에 분산하고 대부분의 고강도 메트콘은 8~15분에 둔다.</x:v>
      </x:c>
      <x:c r="E18" s="57" t="str">
        <x:v>S11</x:v>
      </x:c>
      <x:c r="F18" s="57" t="str">
        <x:v>근거</x:v>
      </x:c>
    </x:row>
    <x:row r="19" ht="42" customHeight="1">
      <x:c r="A19" s="57" t="str">
        <x:v>P15</x:v>
      </x:c>
      <x:c r="B19" s="57" t="str">
        <x:v>운동 교체</x:v>
      </x:c>
      <x:c r="C19" s="57" t="str">
        <x:v>교체 우선순위: 부하 → ROM/도구 → 동일 기능 회귀 → 다른 운동</x:v>
      </x:c>
      <x:c r="D19" s="57" t="str">
        <x:v>가능하면 패턴·시간·자극을 유지한다.</x:v>
      </x:c>
      <x:c r="E19" s="57" t="str">
        <x:v>S11</x:v>
      </x:c>
      <x:c r="F19" s="57" t="str">
        <x:v>근거</x:v>
      </x:c>
    </x:row>
    <x:row r="20" ht="42" customHeight="1">
      <x:c r="A20" s="57" t="str">
        <x:v>P16</x:v>
      </x:c>
      <x:c r="B20" s="57" t="str">
        <x:v>개인화</x:v>
      </x:c>
      <x:c r="C20" s="57" t="str">
        <x:v>연령·수면·통증·경력·기술·장비·시간을 입력값으로 사용</x:v>
      </x:c>
      <x:c r="D20" s="57" t="str">
        <x:v>레벨 이름만으로 볼륨을 확정하지 않는다.</x:v>
      </x:c>
      <x:c r="E20" s="57" t="str">
        <x:v>S06,S09,S13</x:v>
      </x:c>
      <x:c r="F20" s="57" t="str">
        <x:v>근거+설계</x:v>
      </x:c>
    </x:row>
    <x:row r="21" ht="42" customHeight="1">
      <x:c r="A21" s="57" t="str">
        <x:v>P17</x:v>
      </x:c>
      <x:c r="B21" s="57" t="str">
        <x:v>고강도 예산</x:v>
      </x:c>
      <x:c r="C21" s="57" t="str">
        <x:v>연속 고강도일을 제한하고 하체 신경피로·그립·어깨 부담을 충돌 검사</x:v>
      </x:c>
      <x:c r="D21" s="57" t="str">
        <x:v>초급 2회, 중급 2~3회, 고급 3회, 선수 3~4회를 기본 상한으로 둔다.</x:v>
      </x:c>
      <x:c r="E21" s="57" t="str">
        <x:v>S06,S16</x:v>
      </x:c>
      <x:c r="F21" s="57" t="str">
        <x:v>설계</x:v>
      </x:c>
    </x:row>
    <x:row r="22" ht="42" customHeight="1">
      <x:c r="A22" s="57" t="str">
        <x:v>P18</x:v>
      </x:c>
      <x:c r="B22" s="57" t="str">
        <x:v>품질 우선 역도</x:v>
      </x:c>
      <x:c r="C22" s="57" t="str">
        <x:v>클래식 리프트의 성공률·속도·자세를 반복 수보다 우선</x:v>
      </x:c>
      <x:c r="D22" s="57" t="str">
        <x:v>초급은 기술 회귀와 파워 포지션을 많이 사용한다.</x:v>
      </x:c>
      <x:c r="E22" s="57" t="str">
        <x:v>S05,S07</x:v>
      </x:c>
      <x:c r="F22" s="57" t="str">
        <x:v>근거+설계</x:v>
      </x:c>
    </x:row>
    <x:row r="23" ht="42" customHeight="1">
      <x:c r="A23" s="57" t="str">
        <x:v>P19</x:v>
      </x:c>
      <x:c r="B23" s="57" t="str">
        <x:v>근비대 보조</x:v>
      </x:c>
      <x:c r="C23" s="57" t="str">
        <x:v>특정 근육 목표가 있을 때 주 10세트 이상이 유리할 수 있음</x:v>
      </x:c>
      <x:c r="D23" s="57" t="str">
        <x:v>복합동작 기여 세트 중복을 고려하고 크로스핏 전체 피로와 함께 제한한다.</x:v>
      </x:c>
      <x:c r="E23" s="57" t="str">
        <x:v>S13</x:v>
      </x:c>
      <x:c r="F23" s="57" t="str">
        <x:v>근거+설계</x:v>
      </x:c>
    </x:row>
    <x:row r="24">
      <x:c r="A24" s="48" t="str">
        <x:v>P20</x:v>
      </x:c>
      <x:c r="B24" s="48" t="str">
        <x:v>자동 중단</x:v>
      </x:c>
      <x:c r="C24" s="48" t="str">
        <x:v>날카로운 통증, 흉통, 실신감, 신경학적 증상은 운동 생성 중단</x:v>
      </x:c>
      <x:c r="D24" s="48" t="str">
        <x:v>의료 진단 기능이 아니며 전문가 평가가 우선이다.</x:v>
      </x:c>
      <x:c r="E24" s="48" t="str"/>
      <x:c r="F24" s="48" t="str">
        <x:v>안전 설계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afc0358991a445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13" hidden="0" customWidth="1"/>
    <x:col min="4" max="4" width="38" hidden="0" customWidth="1"/>
    <x:col min="5" max="5" width="12" hidden="0" customWidth="1"/>
    <x:col min="6" max="6" width="30" hidden="0" customWidth="1"/>
    <x:col min="7" max="7" width="14" hidden="0" customWidth="1"/>
    <x:col min="8" max="8" width="14" hidden="0" customWidth="1"/>
    <x:col min="9" max="9" width="30" hidden="0" customWidth="1"/>
    <x:col min="10" max="10" width="38" hidden="0" customWidth="1"/>
    <x:col min="11" max="11" width="24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30" customHeight="1">
      <x:c r="A1" s="54" t="str">
        <x:v>사용자 레벨 프로필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</x:row>
    <x:row r="2" ht="30" customHeight="1">
      <x:c r="A2" s="55" t="str">
        <x:v>레벨은 경력만이 아니라 기술 일관성·회복 자원·경기 목표로 판정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58" t="str">
        <x:v>Level</x:v>
      </x:c>
      <x:c r="N3" s="59" t="str">
        <x:v>사용 가능 운동 수</x:v>
      </x:c>
      <x:c r="O3" s="60" t="str">
        <x:v>전체 대비</x:v>
      </x:c>
    </x:row>
    <x:row r="4" ht="32" customHeight="1">
      <x:c r="A4" s="56" t="str">
        <x:v>Level</x:v>
      </x:c>
      <x:c r="B4" s="56" t="str">
        <x:v>그룹</x:v>
      </x:c>
      <x:c r="C4" s="56" t="str">
        <x:v>주간 빈도</x:v>
      </x:c>
      <x:c r="D4" s="56" t="str">
        <x:v>판정 기준</x:v>
      </x:c>
      <x:c r="E4" s="56" t="str">
        <x:v>세션 분</x:v>
      </x:c>
      <x:c r="F4" s="56" t="str">
        <x:v>주간 구조</x:v>
      </x:c>
      <x:c r="G4" s="56" t="str">
        <x:v>고강도일 상한</x:v>
      </x:c>
      <x:c r="H4" s="56" t="str">
        <x:v>연속일 상한</x:v>
      </x:c>
      <x:c r="I4" s="56" t="str">
        <x:v>주 목표</x:v>
      </x:c>
      <x:c r="J4" s="56" t="str">
        <x:v>금지/주의</x:v>
      </x:c>
      <x:c r="K4" s="56" t="str">
        <x:v>기본 디로드</x:v>
      </x:c>
      <x:c r="L4" s="48"/>
      <x:c r="M4" s="61" t="n">
        <x:v>1</x:v>
      </x:c>
      <x:c r="N4" s="48" t="n">
        <x:f>COUNTIF('Exercise_DB'!$I$5:$I$250,"&lt;="&amp;M4)</x:f>
        <x:v>215</x:v>
      </x:c>
      <x:c r="O4" s="62" t="n">
        <x:f>N4/COUNTA('Exercise_DB'!$A$5:$A$250)</x:f>
        <x:v>1.8695652173913044</x:v>
      </x:c>
    </x:row>
    <x:row r="5" ht="42" customHeight="1">
      <x:c r="A5" s="57" t="n">
        <x:v>1</x:v>
      </x:c>
      <x:c r="B5" s="57" t="str">
        <x:v>초급자</x:v>
      </x:c>
      <x:c r="C5" s="57" t="str">
        <x:v>4일</x:v>
      </x:c>
      <x:c r="D5" s="57" t="str">
        <x:v>0~12개월 또는 기본 동작 일관성 미확보</x:v>
      </x:c>
      <x:c r="E5" s="57" t="str">
        <x:v>45~70</x:v>
      </x:c>
      <x:c r="F5" s="57" t="str">
        <x:v>3 훈련 + 1 기술/회복</x:v>
      </x:c>
      <x:c r="G5" s="57" t="str">
        <x:v>2</x:v>
      </x:c>
      <x:c r="H5" s="57" t="str">
        <x:v>2</x:v>
      </x:c>
      <x:c r="I5" s="57" t="str">
        <x:v>기술 습득·습관·기본 근력</x:v>
      </x:c>
      <x:c r="J5" s="57" t="str">
        <x:v>복잡 동작 피로 하 최대중량; 연속 3일 훈련</x:v>
      </x:c>
      <x:c r="K5" s="57" t="str">
        <x:v>3주 적응 + 1주 60~70%</x:v>
      </x:c>
      <x:c r="L5" s="48"/>
      <x:c r="M5" s="61" t="n">
        <x:v>2</x:v>
      </x:c>
      <x:c r="N5" s="48" t="n">
        <x:f>COUNTIF('Exercise_DB'!$I$5:$I$250,"&lt;="&amp;M5)</x:f>
        <x:v>242</x:v>
      </x:c>
      <x:c r="O5" s="62" t="n">
        <x:f>N5/COUNTA('Exercise_DB'!$A$5:$A$250)</x:f>
        <x:v>2.1043478260869564</x:v>
      </x:c>
    </x:row>
    <x:row r="6" ht="42" customHeight="1">
      <x:c r="A6" s="57" t="n">
        <x:v>2</x:v>
      </x:c>
      <x:c r="B6" s="57" t="str">
        <x:v>중급자</x:v>
      </x:c>
      <x:c r="C6" s="57" t="str">
        <x:v>4~5일</x:v>
      </x:c>
      <x:c r="D6" s="57" t="str">
        <x:v>기본 스케일을 안정적으로 수행하고 1년+ 일관된 훈련</x:v>
      </x:c>
      <x:c r="E6" s="57" t="str">
        <x:v>60~90</x:v>
      </x:c>
      <x:c r="F6" s="57" t="str">
        <x:v>3 큰/중간 + 1~2 작은/회복</x:v>
      </x:c>
      <x:c r="G6" s="57" t="str">
        <x:v>2~3</x:v>
      </x:c>
      <x:c r="H6" s="57" t="str">
        <x:v>3</x:v>
      </x:c>
      <x:c r="I6" s="57" t="str">
        <x:v>능력 균형·약점 블록·선형/파동 진행</x:v>
      </x:c>
      <x:c r="J6" s="57" t="str">
        <x:v>동일 관절 고부하 연속일</x:v>
      </x:c>
      <x:c r="K6" s="57" t="str">
        <x:v>3주 적재 + 1주 65~75%</x:v>
      </x:c>
      <x:c r="L6" s="48"/>
      <x:c r="M6" s="61" t="n">
        <x:v>3</x:v>
      </x:c>
      <x:c r="N6" s="48" t="n">
        <x:f>COUNTIF('Exercise_DB'!$I$5:$I$250,"&lt;="&amp;M6)</x:f>
        <x:v>246</x:v>
      </x:c>
      <x:c r="O6" s="62" t="n">
        <x:f>N6/COUNTA('Exercise_DB'!$A$5:$A$250)</x:f>
        <x:v>2.139130434782609</x:v>
      </x:c>
    </x:row>
    <x:row r="7" ht="42" customHeight="1">
      <x:c r="A7" s="57" t="n">
        <x:v>3</x:v>
      </x:c>
      <x:c r="B7" s="57" t="str">
        <x:v>고급자</x:v>
      </x:c>
      <x:c r="C7" s="57" t="str">
        <x:v>5일</x:v>
      </x:c>
      <x:c r="D7" s="57" t="str">
        <x:v>고급 체조·역도 기술과 다년간의 회복 관리 경험</x:v>
      </x:c>
      <x:c r="E7" s="57" t="str">
        <x:v>75~120</x:v>
      </x:c>
      <x:c r="F7" s="57" t="str">
        <x:v>3 큰 + 2 작은</x:v>
      </x:c>
      <x:c r="G7" s="57" t="str">
        <x:v>3</x:v>
      </x:c>
      <x:c r="H7" s="57" t="str">
        <x:v>3</x:v>
      </x:c>
      <x:c r="I7" s="57" t="str">
        <x:v>약점 특화·경기성 조합·정교한 볼륨</x:v>
      </x:c>
      <x:c r="J7" s="57" t="str">
        <x:v>큰 날 연속 2회 초과</x:v>
      </x:c>
      <x:c r="K7" s="57" t="str">
        <x:v>3주 적재 + 1주 70~80%</x:v>
      </x:c>
      <x:c r="L7" s="48"/>
      <x:c r="M7" s="63" t="n">
        <x:v>4</x:v>
      </x:c>
      <x:c r="N7" s="64" t="n">
        <x:f>COUNTIF('Exercise_DB'!$I$5:$I$250,"&lt;="&amp;M7)</x:f>
        <x:v>246</x:v>
      </x:c>
      <x:c r="O7" s="65" t="n">
        <x:f>N7/COUNTA('Exercise_DB'!$A$5:$A$250)</x:f>
        <x:v>2.139130434782609</x:v>
      </x:c>
    </x:row>
    <x:row r="8">
      <x:c r="A8" s="48" t="n">
        <x:v>4</x:v>
      </x:c>
      <x:c r="B8" s="48" t="str">
        <x:v>선수급</x:v>
      </x:c>
      <x:c r="C8" s="48" t="str">
        <x:v>5일(선택적 2부제)</x:v>
      </x:c>
      <x:c r="D8" s="48" t="str">
        <x:v>대회 성과가 목표이며 코치 감독·회복 자원이 있음</x:v>
      </x:c>
      <x:c r="E8" s="48" t="str">
        <x:v>90~150</x:v>
      </x:c>
      <x:c r="F8" s="48" t="str">
        <x:v>3 큰 + 2 작은; 필요 시 소규모 2부제</x:v>
      </x:c>
      <x:c r="G8" s="48" t="str">
        <x:v>3~4</x:v>
      </x:c>
      <x:c r="H8" s="48" t="str">
        <x:v>3</x:v>
      </x:c>
      <x:c r="I8" s="48" t="str">
        <x:v>시즌 역산·테스트·경기 준비</x:v>
      </x:c>
      <x:c r="J8" s="48" t="str">
        <x:v>자동 생성 단독 사용; 감독 없는 고위험 기술</x:v>
      </x:c>
      <x:c r="K8" s="48" t="str">
        <x:v>개인화, 기본 3:1 또는 2:1</x:v>
      </x:c>
      <x:c r="L8" s="48"/>
      <x:c r="M8" s="48"/>
      <x:c r="N8" s="48"/>
      <x:c r="O8" s="48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2ebf6e2784b94a9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8" hidden="0" customWidth="1"/>
    <x:col min="4" max="4" width="10" hidden="0" customWidth="1"/>
    <x:col min="5" max="5" width="10" hidden="0" customWidth="1"/>
    <x:col min="6" max="6" width="12" hidden="0" customWidth="1"/>
    <x:col min="7" max="7" width="55" hidden="0" customWidth="1"/>
    <x:col min="8" max="8" width="16" hidden="0" customWidth="1"/>
    <x:col min="9" max="9" width="44" hidden="0" customWidth="1"/>
  </x:cols>
  <x:sheetData>
    <x:row r="1" ht="30" customHeight="1">
      <x:c r="A1" s="54" t="str">
        <x:v>주간 볼륨 장부</x:v>
      </x:c>
      <x:c r="B1" s="48"/>
      <x:c r="C1" s="48"/>
      <x:c r="D1" s="48"/>
      <x:c r="E1" s="48"/>
      <x:c r="F1" s="48"/>
      <x:c r="G1" s="48"/>
      <x:c r="H1" s="48"/>
      <x:c r="I1" s="48"/>
    </x:row>
    <x:row r="2" ht="30" customHeight="1">
      <x:c r="A2" s="55" t="str">
        <x:v>단위가 다른 스트레스를 하나의 점수로 합치지 않는 6개 독립 장부</x:v>
      </x:c>
      <x:c r="B2" s="48"/>
      <x:c r="C2" s="48"/>
      <x:c r="D2" s="48"/>
      <x:c r="E2" s="48"/>
      <x:c r="F2" s="48"/>
      <x:c r="G2" s="48"/>
      <x:c r="H2" s="48"/>
      <x:c r="I2" s="48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</x:row>
    <x:row r="4" ht="32" customHeight="1">
      <x:c r="A4" s="56" t="str">
        <x:v>LedgerID</x:v>
      </x:c>
      <x:c r="B4" s="56" t="str">
        <x:v>장부</x:v>
      </x:c>
      <x:c r="C4" s="56" t="str">
        <x:v>Level</x:v>
      </x:c>
      <x:c r="D4" s="56" t="str">
        <x:v>최소</x:v>
      </x:c>
      <x:c r="E4" s="56" t="str">
        <x:v>최대</x:v>
      </x:c>
      <x:c r="F4" s="56" t="str">
        <x:v>단위</x:v>
      </x:c>
      <x:c r="G4" s="56" t="str">
        <x:v>집계 규칙</x:v>
      </x:c>
      <x:c r="H4" s="56" t="str">
        <x:v>사용</x:v>
      </x:c>
      <x:c r="I4" s="56" t="str">
        <x:v>근거/상태</x:v>
      </x:c>
    </x:row>
    <x:row r="5" ht="42" customHeight="1">
      <x:c r="A5" s="57" t="str">
        <x:v>V01</x:v>
      </x:c>
      <x:c r="B5" s="57" t="str">
        <x:v>근력 하드세트/패턴/주</x:v>
      </x:c>
      <x:c r="C5" s="57" t="str">
        <x:v>1</x:v>
      </x:c>
      <x:c r="D5" s="57" t="str">
        <x:v>4</x:v>
      </x:c>
      <x:c r="E5" s="57" t="str">
        <x:v>8</x:v>
      </x:c>
      <x:c r="F5" s="57" t="str">
        <x:v>세트</x:v>
      </x:c>
      <x:c r="G5" s="57" t="str">
        <x:v>RIR 1~4인 작업세트만; 워밍업 제외</x:v>
      </x:c>
      <x:c r="H5" s="57" t="str">
        <x:v>시작 범위</x:v>
      </x:c>
      <x:c r="I5" s="57" t="str">
        <x:v>설계값; S13의 세션 2~3세트와 주 2회 원칙을 보수적으로 반영</x:v>
      </x:c>
    </x:row>
    <x:row r="6" ht="42" customHeight="1">
      <x:c r="A6" s="57" t="str">
        <x:v>V01</x:v>
      </x:c>
      <x:c r="B6" s="57" t="str">
        <x:v>근력 하드세트/패턴/주</x:v>
      </x:c>
      <x:c r="C6" s="57" t="str">
        <x:v>2</x:v>
      </x:c>
      <x:c r="D6" s="57" t="str">
        <x:v>6</x:v>
      </x:c>
      <x:c r="E6" s="57" t="str">
        <x:v>12</x:v>
      </x:c>
      <x:c r="F6" s="57" t="str">
        <x:v>세트</x:v>
      </x:c>
      <x:c r="G6" s="57" t="str">
        <x:v>복합동작은 주동 패턴 1세트, 보조 패턴 0.5세트로 집계</x:v>
      </x:c>
      <x:c r="H6" s="57" t="str">
        <x:v>시작 범위</x:v>
      </x:c>
      <x:c r="I6" s="57" t="str">
        <x:v>설계값</x:v>
      </x:c>
    </x:row>
    <x:row r="7" ht="42" customHeight="1">
      <x:c r="A7" s="57" t="str">
        <x:v>V01</x:v>
      </x:c>
      <x:c r="B7" s="57" t="str">
        <x:v>근력 하드세트/패턴/주</x:v>
      </x:c>
      <x:c r="C7" s="57" t="str">
        <x:v>3</x:v>
      </x:c>
      <x:c r="D7" s="57" t="str">
        <x:v>8</x:v>
      </x:c>
      <x:c r="E7" s="57" t="str">
        <x:v>16</x:v>
      </x:c>
      <x:c r="F7" s="57" t="str">
        <x:v>세트</x:v>
      </x:c>
      <x:c r="G7" s="57" t="str">
        <x:v>중복 기여를 고려</x:v>
      </x:c>
      <x:c r="H7" s="57" t="str">
        <x:v>시작 범위</x:v>
      </x:c>
      <x:c r="I7" s="57" t="str">
        <x:v>설계값</x:v>
      </x:c>
    </x:row>
    <x:row r="8" ht="42" customHeight="1">
      <x:c r="A8" s="57" t="str">
        <x:v>V01</x:v>
      </x:c>
      <x:c r="B8" s="57" t="str">
        <x:v>근력 하드세트/패턴/주</x:v>
      </x:c>
      <x:c r="C8" s="57" t="str">
        <x:v>4</x:v>
      </x:c>
      <x:c r="D8" s="57" t="str">
        <x:v>10</x:v>
      </x:c>
      <x:c r="E8" s="57" t="str">
        <x:v>18</x:v>
      </x:c>
      <x:c r="F8" s="57" t="str">
        <x:v>세트</x:v>
      </x:c>
      <x:c r="G8" s="57" t="str">
        <x:v>종목·선수별로 조정</x:v>
      </x:c>
      <x:c r="H8" s="57" t="str">
        <x:v>코치 검토</x:v>
      </x:c>
      <x:c r="I8" s="57" t="str">
        <x:v>설계값</x:v>
      </x:c>
    </x:row>
    <x:row r="9" ht="42" customHeight="1">
      <x:c r="A9" s="57" t="str">
        <x:v>V02</x:v>
      </x:c>
      <x:c r="B9" s="57" t="str">
        <x:v>역도 품질반복/주</x:v>
      </x:c>
      <x:c r="C9" s="57" t="str">
        <x:v>1</x:v>
      </x:c>
      <x:c r="D9" s="57" t="str">
        <x:v>30</x:v>
      </x:c>
      <x:c r="E9" s="57" t="str">
        <x:v>60</x:v>
      </x:c>
      <x:c r="F9" s="57" t="str">
        <x:v>회</x:v>
      </x:c>
      <x:c r="G9" s="57" t="str">
        <x:v>60%+ 또는 명확한 기술 목적의 성공 반복; 실패 제외</x:v>
      </x:c>
      <x:c r="H9" s="57" t="str">
        <x:v>시작 범위</x:v>
      </x:c>
      <x:c r="I9" s="57" t="str">
        <x:v>S07,S09 기반 설계</x:v>
      </x:c>
    </x:row>
    <x:row r="10" ht="42" customHeight="1">
      <x:c r="A10" s="57" t="str">
        <x:v>V02</x:v>
      </x:c>
      <x:c r="B10" s="57" t="str">
        <x:v>역도 품질반복/주</x:v>
      </x:c>
      <x:c r="C10" s="57" t="str">
        <x:v>2</x:v>
      </x:c>
      <x:c r="D10" s="57" t="str">
        <x:v>50</x:v>
      </x:c>
      <x:c r="E10" s="57" t="str">
        <x:v>100</x:v>
      </x:c>
      <x:c r="F10" s="57" t="str">
        <x:v>회</x:v>
      </x:c>
      <x:c r="G10" s="57" t="str">
        <x:v>스내치·클린·저크 및 유사 변형</x:v>
      </x:c>
      <x:c r="H10" s="57" t="str">
        <x:v>시작 범위</x:v>
      </x:c>
      <x:c r="I10" s="57" t="str">
        <x:v>설계값</x:v>
      </x:c>
    </x:row>
    <x:row r="11" ht="42" customHeight="1">
      <x:c r="A11" s="57" t="str">
        <x:v>V02</x:v>
      </x:c>
      <x:c r="B11" s="57" t="str">
        <x:v>역도 품질반복/주</x:v>
      </x:c>
      <x:c r="C11" s="57" t="str">
        <x:v>3</x:v>
      </x:c>
      <x:c r="D11" s="57" t="str">
        <x:v>80</x:v>
      </x:c>
      <x:c r="E11" s="57" t="str">
        <x:v>150</x:v>
      </x:c>
      <x:c r="F11" s="57" t="str">
        <x:v>회</x:v>
      </x:c>
      <x:c r="G11" s="57" t="str">
        <x:v>고강도 반복은 별도 태그</x:v>
      </x:c>
      <x:c r="H11" s="57" t="str">
        <x:v>시작 범위</x:v>
      </x:c>
      <x:c r="I11" s="57" t="str">
        <x:v>설계값</x:v>
      </x:c>
    </x:row>
    <x:row r="12" ht="42" customHeight="1">
      <x:c r="A12" s="57" t="str">
        <x:v>V02</x:v>
      </x:c>
      <x:c r="B12" s="57" t="str">
        <x:v>역도 품질반복/주</x:v>
      </x:c>
      <x:c r="C12" s="57" t="str">
        <x:v>4</x:v>
      </x:c>
      <x:c r="D12" s="57" t="str">
        <x:v>100</x:v>
      </x:c>
      <x:c r="E12" s="57" t="str">
        <x:v>200</x:v>
      </x:c>
      <x:c r="F12" s="57" t="str">
        <x:v>회</x:v>
      </x:c>
      <x:c r="G12" s="57" t="str">
        <x:v>선수별 내성 필요</x:v>
      </x:c>
      <x:c r="H12" s="57" t="str">
        <x:v>코치 검토</x:v>
      </x:c>
      <x:c r="I12" s="57" t="str">
        <x:v>설계값</x:v>
      </x:c>
    </x:row>
    <x:row r="13" ht="42" customHeight="1">
      <x:c r="A13" s="57" t="str">
        <x:v>V03</x:v>
      </x:c>
      <x:c r="B13" s="57" t="str">
        <x:v>고강도 메트콘/주</x:v>
      </x:c>
      <x:c r="C13" s="57" t="str">
        <x:v>1</x:v>
      </x:c>
      <x:c r="D13" s="57" t="str">
        <x:v>16</x:v>
      </x:c>
      <x:c r="E13" s="57" t="str">
        <x:v>30</x:v>
      </x:c>
      <x:c r="F13" s="57" t="str">
        <x:v>분</x:v>
      </x:c>
      <x:c r="G13" s="57" t="str">
        <x:v>RPE 8+ 또는 말하기 곤란 수준의 실제 작업시간</x:v>
      </x:c>
      <x:c r="H13" s="57" t="str">
        <x:v>시작 범위</x:v>
      </x:c>
      <x:c r="I13" s="57" t="str">
        <x:v>S11 기반 설계</x:v>
      </x:c>
    </x:row>
    <x:row r="14" ht="42" customHeight="1">
      <x:c r="A14" s="57" t="str">
        <x:v>V03</x:v>
      </x:c>
      <x:c r="B14" s="57" t="str">
        <x:v>고강도 메트콘/주</x:v>
      </x:c>
      <x:c r="C14" s="57" t="str">
        <x:v>2</x:v>
      </x:c>
      <x:c r="D14" s="57" t="str">
        <x:v>25</x:v>
      </x:c>
      <x:c r="E14" s="57" t="str">
        <x:v>45</x:v>
      </x:c>
      <x:c r="F14" s="57" t="str">
        <x:v>분</x:v>
      </x:c>
      <x:c r="G14" s="57" t="str">
        <x:v>워밍업·휴식 제외</x:v>
      </x:c>
      <x:c r="H14" s="57" t="str">
        <x:v>시작 범위</x:v>
      </x:c>
      <x:c r="I14" s="57" t="str">
        <x:v>설계값</x:v>
      </x:c>
    </x:row>
    <x:row r="15" ht="42" customHeight="1">
      <x:c r="A15" s="57" t="str">
        <x:v>V03</x:v>
      </x:c>
      <x:c r="B15" s="57" t="str">
        <x:v>고강도 메트콘/주</x:v>
      </x:c>
      <x:c r="C15" s="57" t="str">
        <x:v>3</x:v>
      </x:c>
      <x:c r="D15" s="57" t="str">
        <x:v>35</x:v>
      </x:c>
      <x:c r="E15" s="57" t="str">
        <x:v>60</x:v>
      </x:c>
      <x:c r="F15" s="57" t="str">
        <x:v>분</x:v>
      </x:c>
      <x:c r="G15" s="57" t="str">
        <x:v>경기형 세션은 세부 구간 합산</x:v>
      </x:c>
      <x:c r="H15" s="57" t="str">
        <x:v>시작 범위</x:v>
      </x:c>
      <x:c r="I15" s="57" t="str">
        <x:v>설계값</x:v>
      </x:c>
    </x:row>
    <x:row r="16" ht="42" customHeight="1">
      <x:c r="A16" s="57" t="str">
        <x:v>V03</x:v>
      </x:c>
      <x:c r="B16" s="57" t="str">
        <x:v>고강도 메트콘/주</x:v>
      </x:c>
      <x:c r="C16" s="57" t="str">
        <x:v>4</x:v>
      </x:c>
      <x:c r="D16" s="57" t="str">
        <x:v>45</x:v>
      </x:c>
      <x:c r="E16" s="57" t="str">
        <x:v>75</x:v>
      </x:c>
      <x:c r="F16" s="57" t="str">
        <x:v>분</x:v>
      </x:c>
      <x:c r="G16" s="57" t="str">
        <x:v>스포츠 시즌에 따라 파형</x:v>
      </x:c>
      <x:c r="H16" s="57" t="str">
        <x:v>코치 검토</x:v>
      </x:c>
      <x:c r="I16" s="57" t="str">
        <x:v>설계값</x:v>
      </x:c>
    </x:row>
    <x:row r="17" ht="42" customHeight="1">
      <x:c r="A17" s="57" t="str">
        <x:v>V04</x:v>
      </x:c>
      <x:c r="B17" s="57" t="str">
        <x:v>Zone 2/저강도 유산소/주</x:v>
      </x:c>
      <x:c r="C17" s="57" t="str">
        <x:v>1</x:v>
      </x:c>
      <x:c r="D17" s="57" t="str">
        <x:v>20</x:v>
      </x:c>
      <x:c r="E17" s="57" t="str">
        <x:v>50</x:v>
      </x:c>
      <x:c r="F17" s="57" t="str">
        <x:v>분</x:v>
      </x:c>
      <x:c r="G17" s="57" t="str">
        <x:v>회복 가능한 지속 대화 페이스</x:v>
      </x:c>
      <x:c r="H17" s="57" t="str">
        <x:v>시작 범위</x:v>
      </x:c>
      <x:c r="I17" s="57" t="str">
        <x:v>일반 체력 설계값</x:v>
      </x:c>
    </x:row>
    <x:row r="18" ht="42" customHeight="1">
      <x:c r="A18" s="57" t="str">
        <x:v>V04</x:v>
      </x:c>
      <x:c r="B18" s="57" t="str">
        <x:v>Zone 2/저강도 유산소/주</x:v>
      </x:c>
      <x:c r="C18" s="57" t="str">
        <x:v>2</x:v>
      </x:c>
      <x:c r="D18" s="57" t="str">
        <x:v>30</x:v>
      </x:c>
      <x:c r="E18" s="57" t="str">
        <x:v>75</x:v>
      </x:c>
      <x:c r="F18" s="57" t="str">
        <x:v>분</x:v>
      </x:c>
      <x:c r="G18" s="57" t="str">
        <x:v>분할 가능</x:v>
      </x:c>
      <x:c r="H18" s="57" t="str">
        <x:v>시작 범위</x:v>
      </x:c>
      <x:c r="I18" s="57" t="str">
        <x:v>설계값</x:v>
      </x:c>
    </x:row>
    <x:row r="19" ht="42" customHeight="1">
      <x:c r="A19" s="57" t="str">
        <x:v>V04</x:v>
      </x:c>
      <x:c r="B19" s="57" t="str">
        <x:v>Zone 2/저강도 유산소/주</x:v>
      </x:c>
      <x:c r="C19" s="57" t="str">
        <x:v>3</x:v>
      </x:c>
      <x:c r="D19" s="57" t="str">
        <x:v>40</x:v>
      </x:c>
      <x:c r="E19" s="57" t="str">
        <x:v>90</x:v>
      </x:c>
      <x:c r="F19" s="57" t="str">
        <x:v>분</x:v>
      </x:c>
      <x:c r="G19" s="57" t="str">
        <x:v>종목 특이성과 충돌하지 않게 배치</x:v>
      </x:c>
      <x:c r="H19" s="57" t="str">
        <x:v>시작 범위</x:v>
      </x:c>
      <x:c r="I19" s="57" t="str">
        <x:v>설계값</x:v>
      </x:c>
    </x:row>
    <x:row r="20" ht="42" customHeight="1">
      <x:c r="A20" s="57" t="str">
        <x:v>V04</x:v>
      </x:c>
      <x:c r="B20" s="57" t="str">
        <x:v>Zone 2/저강도 유산소/주</x:v>
      </x:c>
      <x:c r="C20" s="57" t="str">
        <x:v>4</x:v>
      </x:c>
      <x:c r="D20" s="57" t="str">
        <x:v>45</x:v>
      </x:c>
      <x:c r="E20" s="57" t="str">
        <x:v>105</x:v>
      </x:c>
      <x:c r="F20" s="57" t="str">
        <x:v>분</x:v>
      </x:c>
      <x:c r="G20" s="57" t="str">
        <x:v>회복·기초능력 목적</x:v>
      </x:c>
      <x:c r="H20" s="57" t="str">
        <x:v>코치 검토</x:v>
      </x:c>
      <x:c r="I20" s="57" t="str">
        <x:v>설계값</x:v>
      </x:c>
    </x:row>
    <x:row r="21" ht="42" customHeight="1">
      <x:c r="A21" s="57" t="str">
        <x:v>V05</x:v>
      </x:c>
      <x:c r="B21" s="57" t="str">
        <x:v>체조 기술연습/주</x:v>
      </x:c>
      <x:c r="C21" s="57" t="str">
        <x:v>1</x:v>
      </x:c>
      <x:c r="D21" s="57" t="str">
        <x:v>20</x:v>
      </x:c>
      <x:c r="E21" s="57" t="str">
        <x:v>40</x:v>
      </x:c>
      <x:c r="F21" s="57" t="str">
        <x:v>분</x:v>
      </x:c>
      <x:c r="G21" s="57" t="str">
        <x:v>실패 전 종료; 기술 시간만</x:v>
      </x:c>
      <x:c r="H21" s="57" t="str">
        <x:v>시작 범위</x:v>
      </x:c>
      <x:c r="I21" s="57" t="str">
        <x:v>Mechanics→Consistency 반영</x:v>
      </x:c>
    </x:row>
    <x:row r="22" ht="42" customHeight="1">
      <x:c r="A22" s="57" t="str">
        <x:v>V05</x:v>
      </x:c>
      <x:c r="B22" s="57" t="str">
        <x:v>체조 기술연습/주</x:v>
      </x:c>
      <x:c r="C22" s="57" t="str">
        <x:v>2</x:v>
      </x:c>
      <x:c r="D22" s="57" t="str">
        <x:v>30</x:v>
      </x:c>
      <x:c r="E22" s="57" t="str">
        <x:v>60</x:v>
      </x:c>
      <x:c r="F22" s="57" t="str">
        <x:v>분</x:v>
      </x:c>
      <x:c r="G22" s="57" t="str">
        <x:v>풀업·인버전·링 기술 분산</x:v>
      </x:c>
      <x:c r="H22" s="57" t="str">
        <x:v>시작 범위</x:v>
      </x:c>
      <x:c r="I22" s="57" t="str">
        <x:v>설계값</x:v>
      </x:c>
    </x:row>
    <x:row r="23" ht="42" customHeight="1">
      <x:c r="A23" s="57" t="str">
        <x:v>V05</x:v>
      </x:c>
      <x:c r="B23" s="57" t="str">
        <x:v>체조 기술연습/주</x:v>
      </x:c>
      <x:c r="C23" s="57" t="str">
        <x:v>3</x:v>
      </x:c>
      <x:c r="D23" s="57" t="str">
        <x:v>45</x:v>
      </x:c>
      <x:c r="E23" s="57" t="str">
        <x:v>90</x:v>
      </x:c>
      <x:c r="F23" s="57" t="str">
        <x:v>분</x:v>
      </x:c>
      <x:c r="G23" s="57" t="str">
        <x:v>강도 세트와 기술 세트 분리</x:v>
      </x:c>
      <x:c r="H23" s="57" t="str">
        <x:v>시작 범위</x:v>
      </x:c>
      <x:c r="I23" s="57" t="str">
        <x:v>설계값</x:v>
      </x:c>
    </x:row>
    <x:row r="24" ht="42" customHeight="1">
      <x:c r="A24" s="57" t="str">
        <x:v>V05</x:v>
      </x:c>
      <x:c r="B24" s="57" t="str">
        <x:v>체조 기술연습/주</x:v>
      </x:c>
      <x:c r="C24" s="57" t="str">
        <x:v>4</x:v>
      </x:c>
      <x:c r="D24" s="57" t="str">
        <x:v>60</x:v>
      </x:c>
      <x:c r="E24" s="57" t="str">
        <x:v>120</x:v>
      </x:c>
      <x:c r="F24" s="57" t="str">
        <x:v>분</x:v>
      </x:c>
      <x:c r="G24" s="57" t="str">
        <x:v>고급 기술은 코치 감독</x:v>
      </x:c>
      <x:c r="H24" s="57" t="str">
        <x:v>코치 검토</x:v>
      </x:c>
      <x:c r="I24" s="57" t="str">
        <x:v>설계값</x:v>
      </x:c>
    </x:row>
    <x:row r="25" ht="42" customHeight="1">
      <x:c r="A25" s="57" t="str">
        <x:v>V06</x:v>
      </x:c>
      <x:c r="B25" s="57" t="str">
        <x:v>고충격 접촉/주</x:v>
      </x:c>
      <x:c r="C25" s="57" t="str">
        <x:v>1</x:v>
      </x:c>
      <x:c r="D25" s="57" t="str">
        <x:v>20</x:v>
      </x:c>
      <x:c r="E25" s="57" t="str">
        <x:v>50</x:v>
      </x:c>
      <x:c r="F25" s="57" t="str">
        <x:v>회</x:v>
      </x:c>
      <x:c r="G25" s="57" t="str">
        <x:v>박스점프·러닝 스프린트·더블언더의 고충격 착지 추정</x:v>
      </x:c>
      <x:c r="H25" s="57" t="str">
        <x:v>보수적 상한</x:v>
      </x:c>
      <x:c r="I25" s="57" t="str">
        <x:v>설계값</x:v>
      </x:c>
    </x:row>
    <x:row r="26" ht="42" customHeight="1">
      <x:c r="A26" s="57" t="str">
        <x:v>V06</x:v>
      </x:c>
      <x:c r="B26" s="57" t="str">
        <x:v>고충격 접촉/주</x:v>
      </x:c>
      <x:c r="C26" s="57" t="str">
        <x:v>2</x:v>
      </x:c>
      <x:c r="D26" s="57" t="str">
        <x:v>40</x:v>
      </x:c>
      <x:c r="E26" s="57" t="str">
        <x:v>90</x:v>
      </x:c>
      <x:c r="F26" s="57" t="str">
        <x:v>회</x:v>
      </x:c>
      <x:c r="G26" s="57" t="str">
        <x:v>표면·체중·기술로 조정</x:v>
      </x:c>
      <x:c r="H26" s="57" t="str">
        <x:v>보수적 상한</x:v>
      </x:c>
      <x:c r="I26" s="57" t="str">
        <x:v>설계값</x:v>
      </x:c>
    </x:row>
    <x:row r="27" ht="42" customHeight="1">
      <x:c r="A27" s="57" t="str">
        <x:v>V06</x:v>
      </x:c>
      <x:c r="B27" s="57" t="str">
        <x:v>고충격 접촉/주</x:v>
      </x:c>
      <x:c r="C27" s="57" t="str">
        <x:v>3</x:v>
      </x:c>
      <x:c r="D27" s="57" t="str">
        <x:v>60</x:v>
      </x:c>
      <x:c r="E27" s="57" t="str">
        <x:v>130</x:v>
      </x:c>
      <x:c r="F27" s="57" t="str">
        <x:v>회</x:v>
      </x:c>
      <x:c r="G27" s="57" t="str">
        <x:v>통증/아킬레스 이력 시 감량</x:v>
      </x:c>
      <x:c r="H27" s="57" t="str">
        <x:v>보수적 상한</x:v>
      </x:c>
      <x:c r="I27" s="57" t="str">
        <x:v>설계값</x:v>
      </x:c>
    </x:row>
    <x:row r="28">
      <x:c r="A28" s="48" t="str">
        <x:v>V06</x:v>
      </x:c>
      <x:c r="B28" s="48" t="str">
        <x:v>고충격 접촉/주</x:v>
      </x:c>
      <x:c r="C28" s="48" t="str">
        <x:v>4</x:v>
      </x:c>
      <x:c r="D28" s="48" t="str">
        <x:v>80</x:v>
      </x:c>
      <x:c r="E28" s="48" t="str">
        <x:v>160</x:v>
      </x:c>
      <x:c r="F28" s="48" t="str">
        <x:v>회</x:v>
      </x:c>
      <x:c r="G28" s="48" t="str">
        <x:v>러닝 총량과 함께 검토</x:v>
      </x:c>
      <x:c r="H28" s="48" t="str">
        <x:v>코치 검토</x:v>
      </x:c>
      <x:c r="I28" s="48" t="str">
        <x:v>설계값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460872ae35e1400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2" hidden="0" customWidth="1"/>
    <x:col min="4" max="4" width="14" hidden="0" customWidth="1"/>
    <x:col min="5" max="5" width="55" hidden="0" customWidth="1"/>
    <x:col min="6" max="6" width="20" hidden="0" customWidth="1"/>
    <x:col min="7" max="7" width="12" hidden="0" customWidth="1"/>
    <x:col min="8" max="8" width="34" hidden="0" customWidth="1"/>
  </x:cols>
  <x:sheetData>
    <x:row r="1" ht="30" customHeight="1">
      <x:c r="A1" s="54" t="str">
        <x:v>4~5일 세션 골격</x:v>
      </x:c>
      <x:c r="B1" s="48"/>
      <x:c r="C1" s="48"/>
      <x:c r="D1" s="48"/>
      <x:c r="E1" s="48"/>
      <x:c r="F1" s="48"/>
      <x:c r="G1" s="48"/>
      <x:c r="H1" s="48"/>
    </x:row>
    <x:row r="2" ht="30" customHeight="1">
      <x:c r="A2" s="55" t="str">
        <x:v>브랜드 루틴 복제가 아닌 슬롯·피로 파형 템플릿</x:v>
      </x:c>
      <x:c r="B2" s="48"/>
      <x:c r="C2" s="48"/>
      <x:c r="D2" s="48"/>
      <x:c r="E2" s="48"/>
      <x:c r="F2" s="48"/>
      <x:c r="G2" s="48"/>
      <x:c r="H2" s="48"/>
    </x:row>
    <x:row r="3">
      <x:c r="A3" s="48"/>
      <x:c r="B3" s="48"/>
      <x:c r="C3" s="48"/>
      <x:c r="D3" s="48"/>
      <x:c r="E3" s="48"/>
      <x:c r="F3" s="48"/>
      <x:c r="G3" s="48"/>
      <x:c r="H3" s="48"/>
    </x:row>
    <x:row r="4" ht="32" customHeight="1">
      <x:c r="A4" s="56" t="str">
        <x:v>TemplateID</x:v>
      </x:c>
      <x:c r="B4" s="56" t="str">
        <x:v>빈도</x:v>
      </x:c>
      <x:c r="C4" s="56" t="str">
        <x:v>세션</x:v>
      </x:c>
      <x:c r="D4" s="56" t="str">
        <x:v>DayType</x:v>
      </x:c>
      <x:c r="E4" s="56" t="str">
        <x:v>슬롯 순서</x:v>
      </x:c>
      <x:c r="F4" s="56" t="str">
        <x:v>컨디셔닝</x:v>
      </x:c>
      <x:c r="G4" s="56" t="str">
        <x:v>권장 요일</x:v>
      </x:c>
      <x:c r="H4" s="56" t="str">
        <x:v>충돌 메모</x:v>
      </x:c>
    </x:row>
    <x:row r="5" ht="42" customHeight="1">
      <x:c r="A5" s="57" t="str">
        <x:v>T4-1</x:v>
      </x:c>
      <x:c r="B5" s="57" t="str">
        <x:v>4일</x:v>
      </x:c>
      <x:c r="C5" s="57" t="str">
        <x:v>Day 1</x:v>
      </x:c>
      <x:c r="D5" s="57" t="str">
        <x:v>큰 날</x:v>
      </x:c>
      <x:c r="E5" s="57" t="str">
        <x:v>역도 기술/파워 → 하체 스쿼트 → 짧은 커플릿</x:v>
      </x:c>
      <x:c r="F5" s="57" t="str">
        <x:v>7~10분</x:v>
      </x:c>
      <x:c r="G5" s="57" t="str">
        <x:v>월</x:v>
      </x:c>
      <x:c r="H5" s="57" t="str">
        <x:v>다음 날 어깨·기술 위주</x:v>
      </x:c>
    </x:row>
    <x:row r="6" ht="42" customHeight="1">
      <x:c r="A6" s="57" t="str">
        <x:v>T4-2</x:v>
      </x:c>
      <x:c r="B6" s="57" t="str">
        <x:v>4일</x:v>
      </x:c>
      <x:c r="C6" s="57" t="str">
        <x:v>Day 2</x:v>
      </x:c>
      <x:c r="D6" s="57" t="str">
        <x:v>작은 날</x:v>
      </x:c>
      <x:c r="E6" s="57" t="str">
        <x:v>체조 기술 → 상체 보조 → Zone 2/쉬운 인터벌</x:v>
      </x:c>
      <x:c r="F6" s="57" t="str">
        <x:v>20~35분 저강도</x:v>
      </x:c>
      <x:c r="G6" s="57" t="str">
        <x:v>화</x:v>
      </x:c>
      <x:c r="H6" s="57" t="str">
        <x:v>하체 후면사슬 고부하 금지</x:v>
      </x:c>
    </x:row>
    <x:row r="7" ht="42" customHeight="1">
      <x:c r="A7" s="57" t="str">
        <x:v>T4-3</x:v>
      </x:c>
      <x:c r="B7" s="57" t="str">
        <x:v>4일</x:v>
      </x:c>
      <x:c r="C7" s="57" t="str">
        <x:v>Day 3</x:v>
      </x:c>
      <x:c r="D7" s="57" t="str">
        <x:v>큰 날</x:v>
      </x:c>
      <x:c r="E7" s="57" t="str">
        <x:v>클린/저크 → 힌지/풀 → 중간 트리플릿</x:v>
      </x:c>
      <x:c r="F7" s="57" t="str">
        <x:v>11~16분</x:v>
      </x:c>
      <x:c r="G7" s="57" t="str">
        <x:v>목</x:v>
      </x:c>
      <x:c r="H7" s="57" t="str">
        <x:v>수요일 휴식 후 배치</x:v>
      </x:c>
    </x:row>
    <x:row r="8" ht="42" customHeight="1">
      <x:c r="A8" s="57" t="str">
        <x:v>T4-4</x:v>
      </x:c>
      <x:c r="B8" s="57" t="str">
        <x:v>4일</x:v>
      </x:c>
      <x:c r="C8" s="57" t="str">
        <x:v>Day 4</x:v>
      </x:c>
      <x:c r="D8" s="57" t="str">
        <x:v>중간/혼합</x:v>
      </x:c>
      <x:c r="E8" s="57" t="str">
        <x:v>전신 근력 또는 5×5 변형 → 긴 기술형 메트콘</x:v>
      </x:c>
      <x:c r="F8" s="57" t="str">
        <x:v>16~25분</x:v>
      </x:c>
      <x:c r="G8" s="57" t="str">
        <x:v>토</x:v>
      </x:c>
      <x:c r="H8" s="57" t="str">
        <x:v>다음 주 Day 1과 패턴 충돌 확인</x:v>
      </x:c>
    </x:row>
    <x:row r="9" ht="42" customHeight="1">
      <x:c r="A9" s="57" t="str">
        <x:v>T5-1</x:v>
      </x:c>
      <x:c r="B9" s="57" t="str">
        <x:v>5일</x:v>
      </x:c>
      <x:c r="C9" s="57" t="str">
        <x:v>Day 1</x:v>
      </x:c>
      <x:c r="D9" s="57" t="str">
        <x:v>큰 날</x:v>
      </x:c>
      <x:c r="E9" s="57" t="str">
        <x:v>스내치 → 스쿼트 → 짧은 메트콘</x:v>
      </x:c>
      <x:c r="F9" s="57" t="str">
        <x:v>5~10분</x:v>
      </x:c>
      <x:c r="G9" s="57" t="str">
        <x:v>월</x:v>
      </x:c>
      <x:c r="H9" s="57" t="str">
        <x:v>Big</x:v>
      </x:c>
    </x:row>
    <x:row r="10" ht="42" customHeight="1">
      <x:c r="A10" s="57" t="str">
        <x:v>T5-2</x:v>
      </x:c>
      <x:c r="B10" s="57" t="str">
        <x:v>5일</x:v>
      </x:c>
      <x:c r="C10" s="57" t="str">
        <x:v>Day 2</x:v>
      </x:c>
      <x:c r="D10" s="57" t="str">
        <x:v>작은 날</x:v>
      </x:c>
      <x:c r="E10" s="57" t="str">
        <x:v>저크/오버헤드 기술 → 체조 기술 → 저강도</x:v>
      </x:c>
      <x:c r="F10" s="57" t="str">
        <x:v>20~40분</x:v>
      </x:c>
      <x:c r="G10" s="57" t="str">
        <x:v>화</x:v>
      </x:c>
      <x:c r="H10" s="57" t="str">
        <x:v>Little</x:v>
      </x:c>
    </x:row>
    <x:row r="11" ht="42" customHeight="1">
      <x:c r="A11" s="57" t="str">
        <x:v>T5-3</x:v>
      </x:c>
      <x:c r="B11" s="57" t="str">
        <x:v>5일</x:v>
      </x:c>
      <x:c r="C11" s="57" t="str">
        <x:v>Day 3</x:v>
      </x:c>
      <x:c r="D11" s="57" t="str">
        <x:v>큰 날</x:v>
      </x:c>
      <x:c r="E11" s="57" t="str">
        <x:v>클린 → 풀/힌지 → 중간 메트콘</x:v>
      </x:c>
      <x:c r="F11" s="57" t="str">
        <x:v>11~18분</x:v>
      </x:c>
      <x:c r="G11" s="57" t="str">
        <x:v>수</x:v>
      </x:c>
      <x:c r="H11" s="57" t="str">
        <x:v>Big</x:v>
      </x:c>
    </x:row>
    <x:row r="12" ht="42" customHeight="1">
      <x:c r="A12" s="57" t="str">
        <x:v>T5-4</x:v>
      </x:c>
      <x:c r="B12" s="57" t="str">
        <x:v>5일</x:v>
      </x:c>
      <x:c r="C12" s="57" t="str">
        <x:v>Day 4</x:v>
      </x:c>
      <x:c r="D12" s="57" t="str">
        <x:v>작은 날</x:v>
      </x:c>
      <x:c r="E12" s="57" t="str">
        <x:v>파워 변형 → 보조/프리햅 → 짧은 기술형 인터벌</x:v>
      </x:c>
      <x:c r="F12" s="57" t="str">
        <x:v>6~12분</x:v>
      </x:c>
      <x:c r="G12" s="57" t="str">
        <x:v>목</x:v>
      </x:c>
      <x:c r="H12" s="57" t="str">
        <x:v>Little</x:v>
      </x:c>
    </x:row>
    <x:row r="13">
      <x:c r="A13" s="48" t="str">
        <x:v>T5-5</x:v>
      </x:c>
      <x:c r="B13" s="48" t="str">
        <x:v>5일</x:v>
      </x:c>
      <x:c r="C13" s="48" t="str">
        <x:v>Day 5</x:v>
      </x:c>
      <x:c r="D13" s="48" t="str">
        <x:v>큰 날</x:v>
      </x:c>
      <x:c r="E13" s="48" t="str">
        <x:v>중량 조합/테스트(레벨별) → 스쿼트 → 경기형 혼합</x:v>
      </x:c>
      <x:c r="F13" s="48" t="str">
        <x:v>8~20분</x:v>
      </x:c>
      <x:c r="G13" s="48" t="str">
        <x:v>토</x:v>
      </x:c>
      <x:c r="H13" s="48" t="str">
        <x:v>금요일 휴식 권장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544fe2068e44f6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8" hidden="0" customWidth="1"/>
    <x:col min="4" max="4" width="68" hidden="0" customWidth="1"/>
    <x:col min="5" max="5" width="14" hidden="0" customWidth="1"/>
    <x:col min="6" max="6" width="20" hidden="0" customWidth="1"/>
  </x:cols>
  <x:sheetData>
    <x:row r="1" ht="30" customHeight="1">
      <x:c r="A1" s="54" t="str">
        <x:v>자동 생성 규칙</x:v>
      </x:c>
      <x:c r="B1" s="48"/>
      <x:c r="C1" s="48"/>
      <x:c r="D1" s="48"/>
      <x:c r="E1" s="48"/>
      <x:c r="F1" s="48"/>
    </x:row>
    <x:row r="2" ht="30" customHeight="1">
      <x:c r="A2" s="55" t="str">
        <x:v>선택→배치→볼륨→피로→안전→사후감사 순서의 결정 규칙</x:v>
      </x:c>
      <x:c r="B2" s="48"/>
      <x:c r="C2" s="48"/>
      <x:c r="D2" s="48"/>
      <x:c r="E2" s="48"/>
      <x:c r="F2" s="48"/>
    </x:row>
    <x:row r="3">
      <x:c r="A3" s="48"/>
      <x:c r="B3" s="48"/>
      <x:c r="C3" s="48"/>
      <x:c r="D3" s="48"/>
      <x:c r="E3" s="48"/>
      <x:c r="F3" s="48"/>
    </x:row>
    <x:row r="4" ht="32" customHeight="1">
      <x:c r="A4" s="56" t="str">
        <x:v>순서</x:v>
      </x:c>
      <x:c r="B4" s="56" t="str">
        <x:v>단계</x:v>
      </x:c>
      <x:c r="C4" s="56" t="str">
        <x:v>검사 항목</x:v>
      </x:c>
      <x:c r="D4" s="56" t="str">
        <x:v>조건/규칙</x:v>
      </x:c>
      <x:c r="E4" s="56" t="str">
        <x:v>Action</x:v>
      </x:c>
      <x:c r="F4" s="56" t="str">
        <x:v>근거</x:v>
      </x:c>
    </x:row>
    <x:row r="5" ht="42" customHeight="1">
      <x:c r="A5" s="57" t="n">
        <x:v>1</x:v>
      </x:c>
      <x:c r="B5" s="57" t="str">
        <x:v>입력 검증</x:v>
      </x:c>
      <x:c r="C5" s="57" t="str">
        <x:v>통증/금기</x:v>
      </x:c>
      <x:c r="D5" s="57" t="str">
        <x:v>날카로운 통증·흉통·실신감·신경 증상이 있으면 생성 중단</x:v>
      </x:c>
      <x:c r="E5" s="57" t="str">
        <x:v>BLOCK</x:v>
      </x:c>
      <x:c r="F5" s="57" t="str">
        <x:v>모든 레벨</x:v>
      </x:c>
    </x:row>
    <x:row r="6" ht="42" customHeight="1">
      <x:c r="A6" s="57" t="n">
        <x:v>2</x:v>
      </x:c>
      <x:c r="B6" s="57" t="str">
        <x:v>입력 검증</x:v>
      </x:c>
      <x:c r="C6" s="57" t="str">
        <x:v>장비</x:v>
      </x:c>
      <x:c r="D6" s="57" t="str">
        <x:v>장비 미보유 운동은 동일 기능·유사 시간의 대체 동작으로 교체</x:v>
      </x:c>
      <x:c r="E6" s="57" t="str">
        <x:v>REPLACE</x:v>
      </x:c>
      <x:c r="F6" s="57" t="str">
        <x:v>모든 레벨</x:v>
      </x:c>
    </x:row>
    <x:row r="7" ht="42" customHeight="1">
      <x:c r="A7" s="57" t="n">
        <x:v>3</x:v>
      </x:c>
      <x:c r="B7" s="57" t="str">
        <x:v>레벨 게이트</x:v>
      </x:c>
      <x:c r="C7" s="57" t="str">
        <x:v>최소 레벨</x:v>
      </x:c>
      <x:c r="D7" s="57" t="str">
        <x:v>운동의 MinLevel이 사용자 레벨보다 높으면 progression 금지</x:v>
      </x:c>
      <x:c r="E7" s="57" t="str">
        <x:v>BLOCK</x:v>
      </x:c>
      <x:c r="F7" s="57" t="str">
        <x:v>모든 레벨</x:v>
      </x:c>
    </x:row>
    <x:row r="8" ht="42" customHeight="1">
      <x:c r="A8" s="57" t="n">
        <x:v>4</x:v>
      </x:c>
      <x:c r="B8" s="57" t="str">
        <x:v>레벨 게이트</x:v>
      </x:c>
      <x:c r="C8" s="57" t="str">
        <x:v>기술 일관성</x:v>
      </x:c>
      <x:c r="D8" s="57" t="str">
        <x:v>최근 3회 노출 중 2회 이상 기준 미달이면 강도 대신 회귀 동작</x:v>
      </x:c>
      <x:c r="E8" s="57" t="str">
        <x:v>REGRESS</x:v>
      </x:c>
      <x:c r="F8" s="57" t="str">
        <x:v>모든 레벨</x:v>
      </x:c>
    </x:row>
    <x:row r="9" ht="42" customHeight="1">
      <x:c r="A9" s="57" t="n">
        <x:v>5</x:v>
      </x:c>
      <x:c r="B9" s="57" t="str">
        <x:v>주간 구조</x:v>
      </x:c>
      <x:c r="C9" s="57" t="str">
        <x:v>훈련일</x:v>
      </x:c>
      <x:c r="D9" s="57" t="str">
        <x:v>초급은 4일 고정, 중급 이상 4~5일; 5일은 3 Big + 2 Little</x:v>
      </x:c>
      <x:c r="E9" s="57" t="str">
        <x:v>SELECT</x:v>
      </x:c>
      <x:c r="F9" s="57" t="str">
        <x:v>S06</x:v>
      </x:c>
    </x:row>
    <x:row r="10" ht="42" customHeight="1">
      <x:c r="A10" s="57" t="n">
        <x:v>6</x:v>
      </x:c>
      <x:c r="B10" s="57" t="str">
        <x:v>주간 구조</x:v>
      </x:c>
      <x:c r="C10" s="57" t="str">
        <x:v>연속일</x:v>
      </x:c>
      <x:c r="D10" s="57" t="str">
        <x:v>초급 최대 2일, 그 외 기본 최대 3일 연속</x:v>
      </x:c>
      <x:c r="E10" s="57" t="str">
        <x:v>BLOCK</x:v>
      </x:c>
      <x:c r="F10" s="57" t="str">
        <x:v>설계값</x:v>
      </x:c>
    </x:row>
    <x:row r="11" ht="42" customHeight="1">
      <x:c r="A11" s="57" t="n">
        <x:v>7</x:v>
      </x:c>
      <x:c r="B11" s="57" t="str">
        <x:v>주간 구조</x:v>
      </x:c>
      <x:c r="C11" s="57" t="str">
        <x:v>큰 날 충돌</x:v>
      </x:c>
      <x:c r="D11" s="57" t="str">
        <x:v>큰 날을 연속 배치하지 않음; 예외 시 두 번째 날 하체/후면/그립 부하 30% 감량</x:v>
      </x:c>
      <x:c r="E11" s="57" t="str">
        <x:v>ADJUST</x:v>
      </x:c>
      <x:c r="F11" s="57" t="str">
        <x:v>S06</x:v>
      </x:c>
    </x:row>
    <x:row r="12" ht="42" customHeight="1">
      <x:c r="A12" s="57" t="n">
        <x:v>8</x:v>
      </x:c>
      <x:c r="B12" s="57" t="str">
        <x:v>세션 순서</x:v>
      </x:c>
      <x:c r="C12" s="57" t="str">
        <x:v>기술 우선</x:v>
      </x:c>
      <x:c r="D12" s="57" t="str">
        <x:v>스내치·클린·저크·점프·고급 체조를 주근력/메트콘보다 먼저</x:v>
      </x:c>
      <x:c r="E12" s="57" t="str">
        <x:v>ORDER</x:v>
      </x:c>
      <x:c r="F12" s="57" t="str">
        <x:v>S05,S13</x:v>
      </x:c>
    </x:row>
    <x:row r="13" ht="42" customHeight="1">
      <x:c r="A13" s="57" t="n">
        <x:v>9</x:v>
      </x:c>
      <x:c r="B13" s="57" t="str">
        <x:v>세션 순서</x:v>
      </x:c>
      <x:c r="C13" s="57" t="str">
        <x:v>핵심 근력</x:v>
      </x:c>
      <x:c r="D13" s="57" t="str">
        <x:v>주 목표 리프트를 액세서리보다 먼저</x:v>
      </x:c>
      <x:c r="E13" s="57" t="str">
        <x:v>ORDER</x:v>
      </x:c>
      <x:c r="F13" s="57" t="str">
        <x:v>S13</x:v>
      </x:c>
    </x:row>
    <x:row r="14" ht="42" customHeight="1">
      <x:c r="A14" s="57" t="n">
        <x:v>10</x:v>
      </x:c>
      <x:c r="B14" s="57" t="str">
        <x:v>메트콘</x:v>
      </x:c>
      <x:c r="C14" s="57" t="str">
        <x:v>포맷</x:v>
      </x:c>
      <x:c r="D14" s="57" t="str">
        <x:v>기본은 2~3개 동작; 4개+ 치퍼는 낮은 빈도로만</x:v>
      </x:c>
      <x:c r="E14" s="57" t="str">
        <x:v>LIMIT</x:v>
      </x:c>
      <x:c r="F14" s="57" t="str">
        <x:v>S11</x:v>
      </x:c>
    </x:row>
    <x:row r="15" ht="42" customHeight="1">
      <x:c r="A15" s="57" t="n">
        <x:v>11</x:v>
      </x:c>
      <x:c r="B15" s="57" t="str">
        <x:v>메트콘</x:v>
      </x:c>
      <x:c r="C15" s="57" t="str">
        <x:v>기능 보완</x:v>
      </x:c>
      <x:c r="D15" s="57" t="str">
        <x:v>같은 관절/패턴의 고반복 동작 2개를 커플릿으로 묶지 않음</x:v>
      </x:c>
      <x:c r="E15" s="57" t="str">
        <x:v>BLOCK</x:v>
      </x:c>
      <x:c r="F15" s="57" t="str">
        <x:v>S11 기반</x:v>
      </x:c>
    </x:row>
    <x:row r="16" ht="42" customHeight="1">
      <x:c r="A16" s="57" t="n">
        <x:v>12</x:v>
      </x:c>
      <x:c r="B16" s="57" t="str">
        <x:v>메트콘</x:v>
      </x:c>
      <x:c r="C16" s="57" t="str">
        <x:v>시간영역</x:v>
      </x:c>
      <x:c r="D16" s="57" t="str">
        <x:v>주간 최소 3개 시간영역 노출; 긴 영역은 초급 격주 허용</x:v>
      </x:c>
      <x:c r="E16" s="57" t="str">
        <x:v>BALANCE</x:v>
      </x:c>
      <x:c r="F16" s="57" t="str">
        <x:v>S11</x:v>
      </x:c>
    </x:row>
    <x:row r="17" ht="42" customHeight="1">
      <x:c r="A17" s="57" t="n">
        <x:v>13</x:v>
      </x:c>
      <x:c r="B17" s="57" t="str">
        <x:v>메트콘</x:v>
      </x:c>
      <x:c r="C17" s="57" t="str">
        <x:v>상대 부하</x:v>
      </x:c>
      <x:c r="D17" s="57" t="str">
        <x:v>연속 가능 반복으로 Light 20+, Moderate 6~20, Heavy 1~5 분류</x:v>
      </x:c>
      <x:c r="E17" s="57" t="str">
        <x:v>CLASSIFY</x:v>
      </x:c>
      <x:c r="F17" s="57" t="str">
        <x:v>S11</x:v>
      </x:c>
    </x:row>
    <x:row r="18" ht="42" customHeight="1">
      <x:c r="A18" s="57" t="n">
        <x:v>14</x:v>
      </x:c>
      <x:c r="B18" s="57" t="str">
        <x:v>메트콘</x:v>
      </x:c>
      <x:c r="C18" s="57" t="str">
        <x:v>기술 피로</x:v>
      </x:c>
      <x:c r="D18" s="57" t="str">
        <x:v>초급은 메트콘 내 바벨 기술동작을 Light로 제한</x:v>
      </x:c>
      <x:c r="E18" s="57" t="str">
        <x:v>LIMIT</x:v>
      </x:c>
      <x:c r="F18" s="57" t="str">
        <x:v>P03</x:v>
      </x:c>
    </x:row>
    <x:row r="19" ht="42" customHeight="1">
      <x:c r="A19" s="57" t="n">
        <x:v>15</x:v>
      </x:c>
      <x:c r="B19" s="57" t="str">
        <x:v>메트콘</x:v>
      </x:c>
      <x:c r="C19" s="57" t="str">
        <x:v>고강도 분</x:v>
      </x:c>
      <x:c r="D19" s="57" t="str">
        <x:v>레벨별 V03 범위 초과 시 Zone 2 또는 기술 세션으로 변환</x:v>
      </x:c>
      <x:c r="E19" s="57" t="str">
        <x:v>CAP</x:v>
      </x:c>
      <x:c r="F19" s="57" t="str">
        <x:v>V03</x:v>
      </x:c>
    </x:row>
    <x:row r="20" ht="42" customHeight="1">
      <x:c r="A20" s="57" t="n">
        <x:v>16</x:v>
      </x:c>
      <x:c r="B20" s="57" t="str">
        <x:v>근력</x:v>
      </x:c>
      <x:c r="C20" s="57" t="str">
        <x:v>주간 노출</x:v>
      </x:c>
      <x:c r="D20" s="57" t="str">
        <x:v>스쿼트·힌지·수직밀기·수직당기기·수평밀기·수평당기기를 7~10일 내 모두 노출</x:v>
      </x:c>
      <x:c r="E20" s="57" t="str">
        <x:v>BALANCE</x:v>
      </x:c>
      <x:c r="F20" s="57" t="str">
        <x:v>설계값</x:v>
      </x:c>
    </x:row>
    <x:row r="21" ht="42" customHeight="1">
      <x:c r="A21" s="57" t="n">
        <x:v>17</x:v>
      </x:c>
      <x:c r="B21" s="57" t="str">
        <x:v>근력</x:v>
      </x:c>
      <x:c r="C21" s="57" t="str">
        <x:v>5×5 적용</x:v>
      </x:c>
      <x:c r="D21" s="57" t="str">
        <x:v>초급/중급의 비기술 복합리프트에만 기본 5×5 허용; 역도 클래식 리프트에는 미적용</x:v>
      </x:c>
      <x:c r="E21" s="57" t="str">
        <x:v>LIMIT</x:v>
      </x:c>
      <x:c r="F21" s="57" t="str">
        <x:v>S03</x:v>
      </x:c>
    </x:row>
    <x:row r="22" ht="42" customHeight="1">
      <x:c r="A22" s="57" t="n">
        <x:v>18</x:v>
      </x:c>
      <x:c r="B22" s="57" t="str">
        <x:v>근력</x:v>
      </x:c>
      <x:c r="C22" s="57" t="str">
        <x:v>증량</x:v>
      </x:c>
      <x:c r="D22" s="57" t="str">
        <x:v>모든 작업 반복 성공+RIR≥2면 하체 2.5~5kg, 상체 1~2.5kg 또는 1~3% 증량</x:v>
      </x:c>
      <x:c r="E22" s="57" t="str">
        <x:v>PROGRESS</x:v>
      </x:c>
      <x:c r="F22" s="57" t="str">
        <x:v>S03 기반 설계</x:v>
      </x:c>
    </x:row>
    <x:row r="23" ht="42" customHeight="1">
      <x:c r="A23" s="57" t="n">
        <x:v>19</x:v>
      </x:c>
      <x:c r="B23" s="57" t="str">
        <x:v>근력</x:v>
      </x:c>
      <x:c r="C23" s="57" t="str">
        <x:v>실패</x:v>
      </x:c>
      <x:c r="D23" s="57" t="str">
        <x:v>1회 실패는 중량 반복, 2회는 5~10% 감량 또는 세트 1개 축소</x:v>
      </x:c>
      <x:c r="E23" s="57" t="str">
        <x:v>DELOAD</x:v>
      </x:c>
      <x:c r="F23" s="57" t="str">
        <x:v>S03 기반 설계</x:v>
      </x:c>
    </x:row>
    <x:row r="24" ht="42" customHeight="1">
      <x:c r="A24" s="57" t="n">
        <x:v>20</x:v>
      </x:c>
      <x:c r="B24" s="57" t="str">
        <x:v>역도</x:v>
      </x:c>
      <x:c r="C24" s="57" t="str">
        <x:v>품질 반복</x:v>
      </x:c>
      <x:c r="D24" s="57" t="str">
        <x:v>2회 연속 기술 실패 또는 속도 급감 시 해당 운동 종료/회귀</x:v>
      </x:c>
      <x:c r="E24" s="57" t="str">
        <x:v>STOP</x:v>
      </x:c>
      <x:c r="F24" s="57" t="str">
        <x:v>S05,S07</x:v>
      </x:c>
    </x:row>
    <x:row r="25" ht="42" customHeight="1">
      <x:c r="A25" s="57" t="n">
        <x:v>21</x:v>
      </x:c>
      <x:c r="B25" s="57" t="str">
        <x:v>역도</x:v>
      </x:c>
      <x:c r="C25" s="57" t="str">
        <x:v>볼륨</x:v>
      </x:c>
      <x:c r="D25" s="57" t="str">
        <x:v>V02 범위를 스내치·클린·저크 계열에 분산; 한 계열 50% 초과 금지(약점 블록 제외)</x:v>
      </x:c>
      <x:c r="E25" s="57" t="str">
        <x:v>BALANCE</x:v>
      </x:c>
      <x:c r="F25" s="57" t="str">
        <x:v>설계값</x:v>
      </x:c>
    </x:row>
    <x:row r="26" ht="42" customHeight="1">
      <x:c r="A26" s="57" t="n">
        <x:v>22</x:v>
      </x:c>
      <x:c r="B26" s="57" t="str">
        <x:v>체조</x:v>
      </x:c>
      <x:c r="C26" s="57" t="str">
        <x:v>실패 여유</x:v>
      </x:c>
      <x:c r="D26" s="57" t="str">
        <x:v>기술세트는 실패 2~3회 전 또는 폼 붕괴 전 종료</x:v>
      </x:c>
      <x:c r="E26" s="57" t="str">
        <x:v>STOP</x:v>
      </x:c>
      <x:c r="F26" s="57" t="str">
        <x:v>P03</x:v>
      </x:c>
    </x:row>
    <x:row r="27" ht="42" customHeight="1">
      <x:c r="A27" s="57" t="n">
        <x:v>23</x:v>
      </x:c>
      <x:c r="B27" s="57" t="str">
        <x:v>충격</x:v>
      </x:c>
      <x:c r="C27" s="57" t="str">
        <x:v>접촉 상한</x:v>
      </x:c>
      <x:c r="D27" s="57" t="str">
        <x:v>V06 초과 또는 하지 통증 플래그 시 로우/바이크/스키로 교체</x:v>
      </x:c>
      <x:c r="E27" s="57" t="str">
        <x:v>REPLACE</x:v>
      </x:c>
      <x:c r="F27" s="57" t="str">
        <x:v>V06</x:v>
      </x:c>
    </x:row>
    <x:row r="28" ht="42" customHeight="1">
      <x:c r="A28" s="57" t="n">
        <x:v>24</x:v>
      </x:c>
      <x:c r="B28" s="57" t="str">
        <x:v>피로</x:v>
      </x:c>
      <x:c r="C28" s="57" t="str">
        <x:v>세션 RPE</x:v>
      </x:c>
      <x:c r="D28" s="57" t="str">
        <x:v>최근 3일 평균 session-RPE×분이 개인 28일 중앙값 대비 30%+ 높으면 다음 Big을 Little로</x:v>
      </x:c>
      <x:c r="E28" s="57" t="str">
        <x:v>ADJUST</x:v>
      </x:c>
      <x:c r="F28" s="57" t="str">
        <x:v>제품 휴리스틱</x:v>
      </x:c>
    </x:row>
    <x:row r="29" ht="42" customHeight="1">
      <x:c r="A29" s="57" t="n">
        <x:v>25</x:v>
      </x:c>
      <x:c r="B29" s="57" t="str">
        <x:v>피로</x:v>
      </x:c>
      <x:c r="C29" s="57" t="str">
        <x:v>웰니스</x:v>
      </x:c>
      <x:c r="D29" s="57" t="str">
        <x:v>수면≤5h, 통증≥6/10, 의욕≤3/10 중 2개면 볼륨 30~40% 감량</x:v>
      </x:c>
      <x:c r="E29" s="57" t="str">
        <x:v>ADJUST</x:v>
      </x:c>
      <x:c r="F29" s="57" t="str">
        <x:v>제품 휴리스틱</x:v>
      </x:c>
    </x:row>
    <x:row r="30" ht="42" customHeight="1">
      <x:c r="A30" s="57" t="n">
        <x:v>26</x:v>
      </x:c>
      <x:c r="B30" s="57" t="str">
        <x:v>피로</x:v>
      </x:c>
      <x:c r="C30" s="57" t="str">
        <x:v>디로드</x:v>
      </x:c>
      <x:c r="D30" s="57" t="str">
        <x:v>4주차 또는 피로 조건 충족 시 세트/반복량 60~75%, 실패 허용 0회</x:v>
      </x:c>
      <x:c r="E30" s="57" t="str">
        <x:v>DELOAD</x:v>
      </x:c>
      <x:c r="F30" s="57" t="str">
        <x:v>S02,S16</x:v>
      </x:c>
    </x:row>
    <x:row r="31" ht="42" customHeight="1">
      <x:c r="A31" s="57" t="n">
        <x:v>27</x:v>
      </x:c>
      <x:c r="B31" s="57" t="str">
        <x:v>다양성</x:v>
      </x:c>
      <x:c r="C31" s="57" t="str">
        <x:v>반복 금지</x:v>
      </x:c>
      <x:c r="D31" s="57" t="str">
        <x:v>동일 메트콘 동작 조합은 14일 내 반복하지 않음; 핵심 리프트 반복은 허용</x:v>
      </x:c>
      <x:c r="E31" s="57" t="str">
        <x:v>DIVERSIFY</x:v>
      </x:c>
      <x:c r="F31" s="57" t="str">
        <x:v>S11</x:v>
      </x:c>
    </x:row>
    <x:row r="32" ht="42" customHeight="1">
      <x:c r="A32" s="57" t="n">
        <x:v>28</x:v>
      </x:c>
      <x:c r="B32" s="57" t="str">
        <x:v>개인화</x:v>
      </x:c>
      <x:c r="C32" s="57" t="str">
        <x:v>약점 블록</x:v>
      </x:c>
      <x:c r="D32" s="57" t="str">
        <x:v>한 번에 최우선 약점 1~2개만; 추가 운동보다 기존 슬롯 교체 우선</x:v>
      </x:c>
      <x:c r="E32" s="57" t="str">
        <x:v>LIMIT</x:v>
      </x:c>
      <x:c r="F32" s="57" t="str">
        <x:v>S07,S08</x:v>
      </x:c>
    </x:row>
    <x:row r="33" ht="42" customHeight="1">
      <x:c r="A33" s="57" t="n">
        <x:v>29</x:v>
      </x:c>
      <x:c r="B33" s="57" t="str">
        <x:v>개인화</x:v>
      </x:c>
      <x:c r="C33" s="57" t="str">
        <x:v>시간 제한</x:v>
      </x:c>
      <x:c r="D33" s="57" t="str">
        <x:v>60분 미만이면 워밍업·기술/근력·주 자극을 보존하고 액세서리부터 제거</x:v>
      </x:c>
      <x:c r="E33" s="57" t="str">
        <x:v>TRIM</x:v>
      </x:c>
      <x:c r="F33" s="57" t="str">
        <x:v>S02,S08</x:v>
      </x:c>
    </x:row>
    <x:row r="34">
      <x:c r="A34" s="48" t="n">
        <x:v>30</x:v>
      </x:c>
      <x:c r="B34" s="48" t="str">
        <x:v>검증</x:v>
      </x:c>
      <x:c r="C34" s="48" t="str">
        <x:v>주간 감사</x:v>
      </x:c>
      <x:c r="D34" s="48" t="str">
        <x:v>패턴·모달리티·시간영역·V01~V06·연속일·금기 위반을 생성 후 재검사</x:v>
      </x:c>
      <x:c r="E34" s="48" t="str">
        <x:v>VALIDATE</x:v>
      </x:c>
      <x:c r="F34" s="48" t="str">
        <x:v>필수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ed14aaba6ae47b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6" hidden="0" customWidth="1"/>
    <x:col min="3" max="3" width="26" hidden="0" customWidth="1"/>
    <x:col min="4" max="4" width="26" hidden="0" customWidth="1"/>
    <x:col min="5" max="5" width="24" hidden="0" customWidth="1"/>
    <x:col min="6" max="6" width="18" hidden="0" customWidth="1"/>
    <x:col min="7" max="7" width="42" hidden="0" customWidth="1"/>
  </x:cols>
  <x:sheetData>
    <x:row r="1" ht="30" customHeight="1">
      <x:c r="A1" s="54" t="str">
        <x:v>스케일링 맵</x:v>
      </x:c>
      <x:c r="B1" s="48"/>
      <x:c r="C1" s="48"/>
      <x:c r="D1" s="48"/>
      <x:c r="E1" s="48"/>
      <x:c r="F1" s="48"/>
      <x:c r="G1" s="48"/>
    </x:row>
    <x:row r="2" ht="30" customHeight="1">
      <x:c r="A2" s="55" t="str">
        <x:v>운동 이름보다 기능·시간영역·상대 부하를 보존</x:v>
      </x:c>
      <x:c r="B2" s="48"/>
      <x:c r="C2" s="48"/>
      <x:c r="D2" s="48"/>
      <x:c r="E2" s="48"/>
      <x:c r="F2" s="48"/>
      <x:c r="G2" s="48"/>
    </x:row>
    <x:row r="3">
      <x:c r="A3" s="48"/>
      <x:c r="B3" s="48"/>
      <x:c r="C3" s="48"/>
      <x:c r="D3" s="48"/>
      <x:c r="E3" s="48"/>
      <x:c r="F3" s="48"/>
      <x:c r="G3" s="48"/>
    </x:row>
    <x:row r="4" ht="32" customHeight="1">
      <x:c r="A4" s="56" t="str">
        <x:v>ScaleID</x:v>
      </x:c>
      <x:c r="B4" s="56" t="str">
        <x:v>원본</x:v>
      </x:c>
      <x:c r="C4" s="56" t="str">
        <x:v>1차 회귀</x:v>
      </x:c>
      <x:c r="D4" s="56" t="str">
        <x:v>2차 회귀</x:v>
      </x:c>
      <x:c r="E4" s="56" t="str">
        <x:v>보존 기능</x:v>
      </x:c>
      <x:c r="F4" s="56" t="str">
        <x:v>자극/시간</x:v>
      </x:c>
      <x:c r="G4" s="56" t="str">
        <x:v>코칭 메모</x:v>
      </x:c>
    </x:row>
    <x:row r="5" ht="42" customHeight="1">
      <x:c r="A5" s="57" t="str">
        <x:v>SC01</x:v>
      </x:c>
      <x:c r="B5" s="57" t="str">
        <x:v>Pull-up</x:v>
      </x:c>
      <x:c r="C5" s="57" t="str">
        <x:v>Band-assisted pull-up</x:v>
      </x:c>
      <x:c r="D5" s="57" t="str">
        <x:v>Ring row</x:v>
      </x:c>
      <x:c r="E5" s="57" t="str">
        <x:v>수직 당김</x:v>
      </x:c>
      <x:c r="F5" s="57" t="str">
        <x:v>6~12분</x:v>
      </x:c>
      <x:c r="G5" s="57" t="str">
        <x:v>반복 수와 시간 자극 유지</x:v>
      </x:c>
    </x:row>
    <x:row r="6" ht="42" customHeight="1">
      <x:c r="A6" s="57" t="str">
        <x:v>SC02</x:v>
      </x:c>
      <x:c r="B6" s="57" t="str">
        <x:v>Chest-to-bar pull-up</x:v>
      </x:c>
      <x:c r="C6" s="57" t="str">
        <x:v>Pull-up</x:v>
      </x:c>
      <x:c r="D6" s="57" t="str">
        <x:v>Band-assisted pull-up</x:v>
      </x:c>
      <x:c r="E6" s="57" t="str">
        <x:v>수직 당김</x:v>
      </x:c>
      <x:c r="F6" s="57" t="str">
        <x:v>6~12분</x:v>
      </x:c>
      <x:c r="G6" s="57" t="str">
        <x:v>흉부 접촉보다 연속성 우선</x:v>
      </x:c>
    </x:row>
    <x:row r="7" ht="42" customHeight="1">
      <x:c r="A7" s="57" t="str">
        <x:v>SC03</x:v>
      </x:c>
      <x:c r="B7" s="57" t="str">
        <x:v>Bar muscle-up</x:v>
      </x:c>
      <x:c r="C7" s="57" t="str">
        <x:v>Chest-to-bar + straight-bar dip</x:v>
      </x:c>
      <x:c r="D7" s="57" t="str">
        <x:v>Pull-up + box dip</x:v>
      </x:c>
      <x:c r="E7" s="57" t="str">
        <x:v>당김+밀기</x:v>
      </x:c>
      <x:c r="F7" s="57" t="str">
        <x:v>기술</x:v>
      </x:c>
      <x:c r="G7" s="57" t="str">
        <x:v>실패 누적 금지</x:v>
      </x:c>
    </x:row>
    <x:row r="8" ht="42" customHeight="1">
      <x:c r="A8" s="57" t="str">
        <x:v>SC04</x:v>
      </x:c>
      <x:c r="B8" s="57" t="str">
        <x:v>Ring muscle-up</x:v>
      </x:c>
      <x:c r="C8" s="57" t="str">
        <x:v>Low-ring transition + dip</x:v>
      </x:c>
      <x:c r="D8" s="57" t="str">
        <x:v>Ring row + box dip</x:v>
      </x:c>
      <x:c r="E8" s="57" t="str">
        <x:v>당김+밀기</x:v>
      </x:c>
      <x:c r="F8" s="57" t="str">
        <x:v>기술</x:v>
      </x:c>
      <x:c r="G8" s="57" t="str">
        <x:v>링 안정성 확보</x:v>
      </x:c>
    </x:row>
    <x:row r="9" ht="42" customHeight="1">
      <x:c r="A9" s="57" t="str">
        <x:v>SC05</x:v>
      </x:c>
      <x:c r="B9" s="57" t="str">
        <x:v>Handstand push-up</x:v>
      </x:c>
      <x:c r="C9" s="57" t="str">
        <x:v>Box pike HSPU</x:v>
      </x:c>
      <x:c r="D9" s="57" t="str">
        <x:v>DB strict press</x:v>
      </x:c>
      <x:c r="E9" s="57" t="str">
        <x:v>수직 밀기</x:v>
      </x:c>
      <x:c r="F9" s="57" t="str">
        <x:v>6~12분</x:v>
      </x:c>
      <x:c r="G9" s="57" t="str">
        <x:v>완전 ROM 보존</x:v>
      </x:c>
    </x:row>
    <x:row r="10" ht="42" customHeight="1">
      <x:c r="A10" s="57" t="str">
        <x:v>SC06</x:v>
      </x:c>
      <x:c r="B10" s="57" t="str">
        <x:v>Handstand walk</x:v>
      </x:c>
      <x:c r="C10" s="57" t="str">
        <x:v>Wall-facing weight shift</x:v>
      </x:c>
      <x:c r="D10" s="57" t="str">
        <x:v>Bear crawl</x:v>
      </x:c>
      <x:c r="E10" s="57" t="str">
        <x:v>오버헤드 지지/이동</x:v>
      </x:c>
      <x:c r="F10" s="57" t="str">
        <x:v>기술</x:v>
      </x:c>
      <x:c r="G10" s="57" t="str">
        <x:v>거리보다 품질</x:v>
      </x:c>
    </x:row>
    <x:row r="11" ht="42" customHeight="1">
      <x:c r="A11" s="57" t="str">
        <x:v>SC07</x:v>
      </x:c>
      <x:c r="B11" s="57" t="str">
        <x:v>Toes-to-bar</x:v>
      </x:c>
      <x:c r="C11" s="57" t="str">
        <x:v>Hanging knee raise</x:v>
      </x:c>
      <x:c r="D11" s="57" t="str">
        <x:v>Supine leg raise</x:v>
      </x:c>
      <x:c r="E11" s="57" t="str">
        <x:v>매달림 몸통 굴곡</x:v>
      </x:c>
      <x:c r="F11" s="57" t="str">
        <x:v>6~15분</x:v>
      </x:c>
      <x:c r="G11" s="57" t="str">
        <x:v>그립 한계 고려</x:v>
      </x:c>
    </x:row>
    <x:row r="12" ht="42" customHeight="1">
      <x:c r="A12" s="57" t="str">
        <x:v>SC08</x:v>
      </x:c>
      <x:c r="B12" s="57" t="str">
        <x:v>Double-under</x:v>
      </x:c>
      <x:c r="C12" s="57" t="str">
        <x:v>Single-under</x:v>
      </x:c>
      <x:c r="D12" s="57" t="str">
        <x:v>Low pogo/step-over rope</x:v>
      </x:c>
      <x:c r="E12" s="57" t="str">
        <x:v>사이클 점프</x:v>
      </x:c>
      <x:c r="F12" s="57" t="str">
        <x:v>5~15분</x:v>
      </x:c>
      <x:c r="G12" s="57" t="str">
        <x:v>2:1~3:1 반복 치환</x:v>
      </x:c>
    </x:row>
    <x:row r="13" ht="42" customHeight="1">
      <x:c r="A13" s="57" t="str">
        <x:v>SC09</x:v>
      </x:c>
      <x:c r="B13" s="57" t="str">
        <x:v>Box jump</x:v>
      </x:c>
      <x:c r="C13" s="57" t="str">
        <x:v>Low box jump/step-down</x:v>
      </x:c>
      <x:c r="D13" s="57" t="str">
        <x:v>Box step-up</x:v>
      </x:c>
      <x:c r="E13" s="57" t="str">
        <x:v>하지 신전</x:v>
      </x:c>
      <x:c r="F13" s="57" t="str">
        <x:v>5~15분</x:v>
      </x:c>
      <x:c r="G13" s="57" t="str">
        <x:v>충격과 높이 동시 증가 금지</x:v>
      </x:c>
    </x:row>
    <x:row r="14" ht="42" customHeight="1">
      <x:c r="A14" s="57" t="str">
        <x:v>SC10</x:v>
      </x:c>
      <x:c r="B14" s="57" t="str">
        <x:v>Pistol</x:v>
      </x:c>
      <x:c r="C14" s="57" t="str">
        <x:v>Counterbalanced pistol to box</x:v>
      </x:c>
      <x:c r="D14" s="57" t="str">
        <x:v>Step-up/split squat</x:v>
      </x:c>
      <x:c r="E14" s="57" t="str">
        <x:v>편측 스쿼트</x:v>
      </x:c>
      <x:c r="F14" s="57" t="str">
        <x:v>기술</x:v>
      </x:c>
      <x:c r="G14" s="57" t="str">
        <x:v>무릎 추적과 깊이 우선</x:v>
      </x:c>
    </x:row>
    <x:row r="15" ht="42" customHeight="1">
      <x:c r="A15" s="57" t="str">
        <x:v>SC11</x:v>
      </x:c>
      <x:c r="B15" s="57" t="str">
        <x:v>Snatch</x:v>
      </x:c>
      <x:c r="C15" s="57" t="str">
        <x:v>Power snatch from hang</x:v>
      </x:c>
      <x:c r="D15" s="57" t="str">
        <x:v>Muscle snatch + OHS</x:v>
      </x:c>
      <x:c r="E15" s="57" t="str">
        <x:v>폭발적 바닥→오버헤드</x:v>
      </x:c>
      <x:c r="F15" s="57" t="str">
        <x:v>기술</x:v>
      </x:c>
      <x:c r="G15" s="57" t="str">
        <x:v>메트콘에서는 가벼운 부하</x:v>
      </x:c>
    </x:row>
    <x:row r="16" ht="42" customHeight="1">
      <x:c r="A16" s="57" t="str">
        <x:v>SC12</x:v>
      </x:c>
      <x:c r="B16" s="57" t="str">
        <x:v>Clean</x:v>
      </x:c>
      <x:c r="C16" s="57" t="str">
        <x:v>Hang power clean</x:v>
      </x:c>
      <x:c r="D16" s="57" t="str">
        <x:v>DB hang power clean</x:v>
      </x:c>
      <x:c r="E16" s="57" t="str">
        <x:v>폭발적 바닥→프론트랙</x:v>
      </x:c>
      <x:c r="F16" s="57" t="str">
        <x:v>기술</x:v>
      </x:c>
      <x:c r="G16" s="57" t="str">
        <x:v>받기 자세 안정</x:v>
      </x:c>
    </x:row>
    <x:row r="17" ht="42" customHeight="1">
      <x:c r="A17" s="57" t="str">
        <x:v>SC13</x:v>
      </x:c>
      <x:c r="B17" s="57" t="str">
        <x:v>Split jerk</x:v>
      </x:c>
      <x:c r="C17" s="57" t="str">
        <x:v>Push jerk</x:v>
      </x:c>
      <x:c r="D17" s="57" t="str">
        <x:v>Push press</x:v>
      </x:c>
      <x:c r="E17" s="57" t="str">
        <x:v>다리 사용 오버헤드</x:v>
      </x:c>
      <x:c r="F17" s="57" t="str">
        <x:v>기술</x:v>
      </x:c>
      <x:c r="G17" s="57" t="str">
        <x:v>발 위치 통제</x:v>
      </x:c>
    </x:row>
    <x:row r="18" ht="42" customHeight="1">
      <x:c r="A18" s="57" t="str">
        <x:v>SC14</x:v>
      </x:c>
      <x:c r="B18" s="57" t="str">
        <x:v>Overhead squat</x:v>
      </x:c>
      <x:c r="C18" s="57" t="str">
        <x:v>Front squat</x:v>
      </x:c>
      <x:c r="D18" s="57" t="str">
        <x:v>Goblet squat</x:v>
      </x:c>
      <x:c r="E18" s="57" t="str">
        <x:v>스쿼트</x:v>
      </x:c>
      <x:c r="F18" s="57" t="str">
        <x:v>근력/기술</x:v>
      </x:c>
      <x:c r="G18" s="57" t="str">
        <x:v>가동성 제한 시 기능 보존</x:v>
      </x:c>
    </x:row>
    <x:row r="19" ht="42" customHeight="1">
      <x:c r="A19" s="57" t="str">
        <x:v>SC15</x:v>
      </x:c>
      <x:c r="B19" s="57" t="str">
        <x:v>Deadlift</x:v>
      </x:c>
      <x:c r="C19" s="57" t="str">
        <x:v>Elevated deadlift</x:v>
      </x:c>
      <x:c r="D19" s="57" t="str">
        <x:v>KB deadlift</x:v>
      </x:c>
      <x:c r="E19" s="57" t="str">
        <x:v>힌지</x:v>
      </x:c>
      <x:c r="F19" s="57" t="str">
        <x:v>5~12분</x:v>
      </x:c>
      <x:c r="G19" s="57" t="str">
        <x:v>부하→ROM 순으로 조정</x:v>
      </x:c>
    </x:row>
    <x:row r="20" ht="42" customHeight="1">
      <x:c r="A20" s="57" t="str">
        <x:v>SC16</x:v>
      </x:c>
      <x:c r="B20" s="57" t="str">
        <x:v>Wall ball</x:v>
      </x:c>
      <x:c r="C20" s="57" t="str">
        <x:v>Light wall ball/lower target</x:v>
      </x:c>
      <x:c r="D20" s="57" t="str">
        <x:v>Goblet squat to press</x:v>
      </x:c>
      <x:c r="E20" s="57" t="str">
        <x:v>스쿼트+수직 밀기</x:v>
      </x:c>
      <x:c r="F20" s="57" t="str">
        <x:v>8~20분</x:v>
      </x:c>
      <x:c r="G20" s="57" t="str">
        <x:v>연속 반복 범위 유지</x:v>
      </x:c>
    </x:row>
    <x:row r="21" ht="42" customHeight="1">
      <x:c r="A21" s="57" t="str">
        <x:v>SC17</x:v>
      </x:c>
      <x:c r="B21" s="57" t="str">
        <x:v>Thruster</x:v>
      </x:c>
      <x:c r="C21" s="57" t="str">
        <x:v>Light barbell thruster</x:v>
      </x:c>
      <x:c r="D21" s="57" t="str">
        <x:v>DB thruster</x:v>
      </x:c>
      <x:c r="E21" s="57" t="str">
        <x:v>스쿼트+오버헤드</x:v>
      </x:c>
      <x:c r="F21" s="57" t="str">
        <x:v>5~15분</x:v>
      </x:c>
      <x:c r="G21" s="57" t="str">
        <x:v>무게보다 사이클 속도</x:v>
      </x:c>
    </x:row>
    <x:row r="22" ht="42" customHeight="1">
      <x:c r="A22" s="57" t="str">
        <x:v>SC18</x:v>
      </x:c>
      <x:c r="B22" s="57" t="str">
        <x:v>Run</x:v>
      </x:c>
      <x:c r="C22" s="57" t="str">
        <x:v>Row</x:v>
      </x:c>
      <x:c r="D22" s="57" t="str">
        <x:v>Bike erg</x:v>
      </x:c>
      <x:c r="E22" s="57" t="str">
        <x:v>모노스트럭처럴</x:v>
      </x:c>
      <x:c r="F22" s="57" t="str">
        <x:v>모든 영역</x:v>
      </x:c>
      <x:c r="G22" s="57" t="str">
        <x:v>목표 작업시간으로 치환</x:v>
      </x:c>
    </x:row>
    <x:row r="23" ht="42" customHeight="1">
      <x:c r="A23" s="57" t="str">
        <x:v>SC19</x:v>
      </x:c>
      <x:c r="B23" s="57" t="str">
        <x:v>Row</x:v>
      </x:c>
      <x:c r="C23" s="57" t="str">
        <x:v>Ski erg</x:v>
      </x:c>
      <x:c r="D23" s="57" t="str">
        <x:v>Bike erg</x:v>
      </x:c>
      <x:c r="E23" s="57" t="str">
        <x:v>모노스트럭처럴</x:v>
      </x:c>
      <x:c r="F23" s="57" t="str">
        <x:v>모든 영역</x:v>
      </x:c>
      <x:c r="G23" s="57" t="str">
        <x:v>칼로리보다 시간 우선</x:v>
      </x:c>
    </x:row>
    <x:row r="24">
      <x:c r="A24" s="48" t="str">
        <x:v>SC20</x:v>
      </x:c>
      <x:c r="B24" s="48" t="str">
        <x:v>Rope climb</x:v>
      </x:c>
      <x:c r="C24" s="48" t="str">
        <x:v>Foot-lock drill + partial climb</x:v>
      </x:c>
      <x:c r="D24" s="48" t="str">
        <x:v>Seated rope pull</x:v>
      </x:c>
      <x:c r="E24" s="48" t="str">
        <x:v>수직 당김/그립</x:v>
      </x:c>
      <x:c r="F24" s="48" t="str">
        <x:v>기술</x:v>
      </x:c>
      <x:c r="G24" s="48" t="str">
        <x:v>하강 통제 필수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ba6b8883bfe46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38" hidden="0" customWidth="1"/>
  </x:cols>
  <x:sheetData>
    <x:row r="1" ht="30" customHeight="1">
      <x:c r="A1" s="54" t="str">
        <x:v>분류 코드</x:v>
      </x:c>
      <x:c r="B1" s="48"/>
      <x:c r="C1" s="48"/>
      <x:c r="D1" s="48"/>
    </x:row>
    <x:row r="2" ht="30" customHeight="1">
      <x:c r="A2" s="55" t="str">
        <x:v>개발 시 enum/validation 목록으로 사용</x:v>
      </x:c>
      <x:c r="B2" s="48"/>
      <x:c r="C2" s="48"/>
      <x:c r="D2" s="48"/>
    </x:row>
    <x:row r="3">
      <x:c r="A3" s="48"/>
      <x:c r="B3" s="48"/>
      <x:c r="C3" s="48"/>
      <x:c r="D3" s="48"/>
    </x:row>
    <x:row r="4" ht="32" customHeight="1">
      <x:c r="A4" s="56" t="str">
        <x:v>Enum</x:v>
      </x:c>
      <x:c r="B4" s="56" t="str">
        <x:v>Code</x:v>
      </x:c>
      <x:c r="C4" s="56" t="str">
        <x:v>한글</x:v>
      </x:c>
      <x:c r="D4" s="56" t="str">
        <x:v>설명</x:v>
      </x:c>
    </x:row>
    <x:row r="5" ht="42" customHeight="1">
      <x:c r="A5" s="57" t="str">
        <x:v>Level</x:v>
      </x:c>
      <x:c r="B5" s="57" t="str">
        <x:v>1</x:v>
      </x:c>
      <x:c r="C5" s="57" t="str">
        <x:v>초급자</x:v>
      </x:c>
      <x:c r="D5" s="57" t="str">
        <x:v>기술 일관성 우선</x:v>
      </x:c>
    </x:row>
    <x:row r="6" ht="42" customHeight="1">
      <x:c r="A6" s="57" t="str">
        <x:v>Level</x:v>
      </x:c>
      <x:c r="B6" s="57" t="str">
        <x:v>2</x:v>
      </x:c>
      <x:c r="C6" s="57" t="str">
        <x:v>중급자</x:v>
      </x:c>
      <x:c r="D6" s="57" t="str">
        <x:v>균형 발전/약점 블록</x:v>
      </x:c>
    </x:row>
    <x:row r="7" ht="42" customHeight="1">
      <x:c r="A7" s="57" t="str">
        <x:v>Level</x:v>
      </x:c>
      <x:c r="B7" s="57" t="str">
        <x:v>3</x:v>
      </x:c>
      <x:c r="C7" s="57" t="str">
        <x:v>고급자</x:v>
      </x:c>
      <x:c r="D7" s="57" t="str">
        <x:v>고급 기술·경기형 조합</x:v>
      </x:c>
    </x:row>
    <x:row r="8" ht="42" customHeight="1">
      <x:c r="A8" s="57" t="str">
        <x:v>Level</x:v>
      </x:c>
      <x:c r="B8" s="57" t="str">
        <x:v>4</x:v>
      </x:c>
      <x:c r="C8" s="57" t="str">
        <x:v>선수급</x:v>
      </x:c>
      <x:c r="D8" s="57" t="str">
        <x:v>코치 감독 전제</x:v>
      </x:c>
    </x:row>
    <x:row r="9" ht="42" customHeight="1">
      <x:c r="A9" s="57" t="str">
        <x:v>Modality</x:v>
      </x:c>
      <x:c r="B9" s="57" t="str">
        <x:v>체조</x:v>
      </x:c>
      <x:c r="C9" s="57" t="str">
        <x:v>Gymnastics</x:v>
      </x:c>
      <x:c r="D9" s="57" t="str">
        <x:v>체중 제어</x:v>
      </x:c>
    </x:row>
    <x:row r="10" ht="42" customHeight="1">
      <x:c r="A10" s="57" t="str">
        <x:v>Modality</x:v>
      </x:c>
      <x:c r="B10" s="57" t="str">
        <x:v>웨이트리프팅</x:v>
      </x:c>
      <x:c r="C10" s="57" t="str">
        <x:v>Weightlifting</x:v>
      </x:c>
      <x:c r="D10" s="57" t="str">
        <x:v>외부 부하/물체</x:v>
      </x:c>
    </x:row>
    <x:row r="11" ht="42" customHeight="1">
      <x:c r="A11" s="57" t="str">
        <x:v>Modality</x:v>
      </x:c>
      <x:c r="B11" s="57" t="str">
        <x:v>모노스트럭처럴</x:v>
      </x:c>
      <x:c r="C11" s="57" t="str">
        <x:v>Monostructural</x:v>
      </x:c>
      <x:c r="D11" s="57" t="str">
        <x:v>반복 순환 운동</x:v>
      </x:c>
    </x:row>
    <x:row r="12" ht="42" customHeight="1">
      <x:c r="A12" s="57" t="str">
        <x:v>DayType</x:v>
      </x:c>
      <x:c r="B12" s="57" t="str">
        <x:v>Big</x:v>
      </x:c>
      <x:c r="C12" s="57" t="str">
        <x:v>큰 날</x:v>
      </x:c>
      <x:c r="D12" s="57" t="str">
        <x:v>고강도·고볼륨·전신 피로</x:v>
      </x:c>
    </x:row>
    <x:row r="13" ht="42" customHeight="1">
      <x:c r="A13" s="57" t="str">
        <x:v>DayType</x:v>
      </x:c>
      <x:c r="B13" s="57" t="str">
        <x:v>Little</x:v>
      </x:c>
      <x:c r="C13" s="57" t="str">
        <x:v>작은 날</x:v>
      </x:c>
      <x:c r="D13" s="57" t="str">
        <x:v>기술·스피드·낮은 피로</x:v>
      </x:c>
    </x:row>
    <x:row r="14" ht="42" customHeight="1">
      <x:c r="A14" s="57" t="str">
        <x:v>DayType</x:v>
      </x:c>
      <x:c r="B14" s="57" t="str">
        <x:v>Recovery</x:v>
      </x:c>
      <x:c r="C14" s="57" t="str">
        <x:v>회복일</x:v>
      </x:c>
      <x:c r="D14" s="57" t="str">
        <x:v>Zone 1~2·모빌리티</x:v>
      </x:c>
    </x:row>
    <x:row r="15" ht="42" customHeight="1">
      <x:c r="A15" s="57" t="str">
        <x:v>Load</x:v>
      </x:c>
      <x:c r="B15" s="57" t="str">
        <x:v>Unloaded</x:v>
      </x:c>
      <x:c r="C15" s="57" t="str">
        <x:v>무부하</x:v>
      </x:c>
      <x:c r="D15" s="57" t="str">
        <x:v>체중</x:v>
      </x:c>
    </x:row>
    <x:row r="16" ht="42" customHeight="1">
      <x:c r="A16" s="57" t="str">
        <x:v>Load</x:v>
      </x:c>
      <x:c r="B16" s="57" t="str">
        <x:v>Light</x:v>
      </x:c>
      <x:c r="C16" s="57" t="str">
        <x:v>가벼움</x:v>
      </x:c>
      <x:c r="D16" s="57" t="str">
        <x:v>20+ 연속 가능</x:v>
      </x:c>
    </x:row>
    <x:row r="17" ht="42" customHeight="1">
      <x:c r="A17" s="57" t="str">
        <x:v>Load</x:v>
      </x:c>
      <x:c r="B17" s="57" t="str">
        <x:v>Moderate</x:v>
      </x:c>
      <x:c r="C17" s="57" t="str">
        <x:v>중간</x:v>
      </x:c>
      <x:c r="D17" s="57" t="str">
        <x:v>6~20 연속 가능</x:v>
      </x:c>
    </x:row>
    <x:row r="18" ht="42" customHeight="1">
      <x:c r="A18" s="57" t="str">
        <x:v>Load</x:v>
      </x:c>
      <x:c r="B18" s="57" t="str">
        <x:v>Heavy</x:v>
      </x:c>
      <x:c r="C18" s="57" t="str">
        <x:v>무거움</x:v>
      </x:c>
      <x:c r="D18" s="57" t="str">
        <x:v>1~5 연속 가능</x:v>
      </x:c>
    </x:row>
    <x:row r="19" ht="42" customHeight="1">
      <x:c r="A19" s="57" t="str">
        <x:v>TimeDomain</x:v>
      </x:c>
      <x:c r="B19" s="57" t="str">
        <x:v>Very short</x:v>
      </x:c>
      <x:c r="C19" s="57" t="str">
        <x:v>매우 짧음</x:v>
      </x:c>
      <x:c r="D19" s="57" t="str">
        <x:v>&lt;5분 또는 heavy day</x:v>
      </x:c>
    </x:row>
    <x:row r="20" ht="42" customHeight="1">
      <x:c r="A20" s="57" t="str">
        <x:v>TimeDomain</x:v>
      </x:c>
      <x:c r="B20" s="57" t="str">
        <x:v>Short</x:v>
      </x:c>
      <x:c r="C20" s="57" t="str">
        <x:v>짧음</x:v>
      </x:c>
      <x:c r="D20" s="57" t="str">
        <x:v>5~10분</x:v>
      </x:c>
    </x:row>
    <x:row r="21" ht="42" customHeight="1">
      <x:c r="A21" s="57" t="str">
        <x:v>TimeDomain</x:v>
      </x:c>
      <x:c r="B21" s="57" t="str">
        <x:v>Moderate</x:v>
      </x:c>
      <x:c r="C21" s="57" t="str">
        <x:v>중간</x:v>
      </x:c>
      <x:c r="D21" s="57" t="str">
        <x:v>11~20분</x:v>
      </x:c>
    </x:row>
    <x:row r="22" ht="42" customHeight="1">
      <x:c r="A22" s="57" t="str">
        <x:v>TimeDomain</x:v>
      </x:c>
      <x:c r="B22" s="57" t="str">
        <x:v>Long</x:v>
      </x:c>
      <x:c r="C22" s="57" t="str">
        <x:v>김</x:v>
      </x:c>
      <x:c r="D22" s="57" t="str">
        <x:v>20분+</x:v>
      </x:c>
    </x:row>
    <x:row r="23" ht="42" customHeight="1">
      <x:c r="A23" s="57" t="str">
        <x:v>Impact</x:v>
      </x:c>
      <x:c r="B23" s="57" t="str">
        <x:v>낮음</x:v>
      </x:c>
      <x:c r="C23" s="57" t="str">
        <x:v>Low</x:v>
      </x:c>
      <x:c r="D23" s="57" t="str">
        <x:v>충격 접촉이 작음</x:v>
      </x:c>
    </x:row>
    <x:row r="24" ht="42" customHeight="1">
      <x:c r="A24" s="57" t="str">
        <x:v>Impact</x:v>
      </x:c>
      <x:c r="B24" s="57" t="str">
        <x:v>중간</x:v>
      </x:c>
      <x:c r="C24" s="57" t="str">
        <x:v>Moderate</x:v>
      </x:c>
      <x:c r="D24" s="57" t="str">
        <x:v>반복 착지/관절부하 관리</x:v>
      </x:c>
    </x:row>
    <x:row r="25">
      <x:c r="A25" s="48" t="str">
        <x:v>Impact</x:v>
      </x:c>
      <x:c r="B25" s="48" t="str">
        <x:v>높음</x:v>
      </x:c>
      <x:c r="C25" s="48" t="str">
        <x:v>High</x:v>
      </x:c>
      <x:c r="D25" s="48" t="str">
        <x:v>접촉량 별도 추적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4372752c6afb4c9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0" hidden="0" customWidth="1"/>
    <x:col min="4" max="4" width="18" hidden="0" customWidth="1"/>
    <x:col min="5" max="5" width="64" hidden="0" customWidth="1"/>
    <x:col min="6" max="6" width="48" hidden="0" customWidth="1"/>
    <x:col min="7" max="7" width="20" hidden="0" customWidth="1"/>
    <x:col min="8" max="8" width="10" hidden="0" customWidth="1"/>
    <x:col min="9" max="9" width="55" hidden="0" customWidth="1"/>
  </x:cols>
  <x:sheetData>
    <x:row r="1" ht="30" customHeight="1">
      <x:c r="A1" s="54" t="str">
        <x:v>2017~2026 CrossFit Open</x:v>
      </x:c>
      <x:c r="B1" s="48"/>
      <x:c r="C1" s="48"/>
      <x:c r="D1" s="48"/>
      <x:c r="E1" s="48"/>
      <x:c r="F1" s="48"/>
      <x:c r="G1" s="48"/>
      <x:c r="H1" s="48"/>
      <x:c r="I1" s="48"/>
    </x:row>
    <x:row r="2" ht="30" customHeight="1">
      <x:c r="A2" s="55" t="str">
        <x:v>최근 10개 시즌 Individual Men Rx 공식 페이지를 워크아웃 단위로 정리; 부하·세부 표준은 원문 링크 우선</x:v>
      </x:c>
      <x:c r="B2" s="48"/>
      <x:c r="C2" s="48"/>
      <x:c r="D2" s="48"/>
      <x:c r="E2" s="48"/>
      <x:c r="F2" s="48"/>
      <x:c r="G2" s="48"/>
      <x:c r="H2" s="48"/>
      <x:c r="I2" s="48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</x:row>
    <x:row r="4" ht="32" customHeight="1">
      <x:c r="A4" s="56" t="str">
        <x:v>Year</x:v>
      </x:c>
      <x:c r="B4" s="56" t="str">
        <x:v>Workout</x:v>
      </x:c>
      <x:c r="C4" s="56" t="str">
        <x:v>Format</x:v>
      </x:c>
      <x:c r="D4" s="56" t="str">
        <x:v>Time cap</x:v>
      </x:c>
      <x:c r="E4" s="56" t="str">
        <x:v>Canonical movements</x:v>
      </x:c>
      <x:c r="F4" s="56" t="str">
        <x:v>구조 메모</x:v>
      </x:c>
      <x:c r="G4" s="56" t="str">
        <x:v>Division</x:v>
      </x:c>
      <x:c r="H4" s="56" t="str">
        <x:v>SourceID</x:v>
      </x:c>
      <x:c r="I4" s="56" t="str">
        <x:v>Official URL</x:v>
      </x:c>
    </x:row>
    <x:row r="5" ht="42" customHeight="1">
      <x:c r="A5" s="57" t="n">
        <x:v>2017</x:v>
      </x:c>
      <x:c r="B5" s="57" t="str">
        <x:v>17.1</x:v>
      </x:c>
      <x:c r="C5" s="57" t="str">
        <x:v>For time</x:v>
      </x:c>
      <x:c r="D5" s="57" t="str">
        <x:v>20 min</x:v>
      </x:c>
      <x:c r="E5" s="57" t="str">
        <x:v>Dumbbell Snatch|Burpee Box Jump-over</x:v>
      </x:c>
      <x:c r="F5" s="57" t="str">
        <x:v>Ascending DB snatches with fixed burpee box jump-overs</x:v>
      </x:c>
      <x:c r="G5" s="57" t="str">
        <x:v>Individual Men Rx</x:v>
      </x:c>
      <x:c r="H5" s="57" t="str">
        <x:v>S20</x:v>
      </x:c>
      <x:c r="I5" s="57" t="str">
        <x:v>https://games.crossfit.com/workouts/open/2017</x:v>
      </x:c>
    </x:row>
    <x:row r="6" ht="42" customHeight="1">
      <x:c r="A6" s="57" t="n">
        <x:v>2017</x:v>
      </x:c>
      <x:c r="B6" s="57" t="str">
        <x:v>17.2</x:v>
      </x:c>
      <x:c r="C6" s="57" t="str">
        <x:v>AMRAP</x:v>
      </x:c>
      <x:c r="D6" s="57" t="str">
        <x:v>12 min</x:v>
      </x:c>
      <x:c r="E6" s="57" t="str">
        <x:v>Dumbbell Front-rack Walking Lunge|Toes-to-bar|Power Clean|Bar Muscle-up</x:v>
      </x:c>
      <x:c r="F6" s="57" t="str">
        <x:v>Two-round alternation of TTB and BMU</x:v>
      </x:c>
      <x:c r="G6" s="57" t="str">
        <x:v>Individual Men Rx</x:v>
      </x:c>
      <x:c r="H6" s="57" t="str">
        <x:v>S20</x:v>
      </x:c>
      <x:c r="I6" s="57" t="str">
        <x:v>https://games.crossfit.com/workouts/open/2017/2</x:v>
      </x:c>
    </x:row>
    <x:row r="7" ht="42" customHeight="1">
      <x:c r="A7" s="57" t="n">
        <x:v>2017</x:v>
      </x:c>
      <x:c r="B7" s="57" t="str">
        <x:v>17.3</x:v>
      </x:c>
      <x:c r="C7" s="57" t="str">
        <x:v>Time-gated rounds</x:v>
      </x:c>
      <x:c r="D7" s="57" t="str">
        <x:v>8–24 min gates</x:v>
      </x:c>
      <x:c r="E7" s="57" t="str">
        <x:v>Chest-to-bar Pull-up|Squat Snatch</x:v>
      </x:c>
      <x:c r="F7" s="57" t="str">
        <x:v>Heavier squat snatches at successive gates</x:v>
      </x:c>
      <x:c r="G7" s="57" t="str">
        <x:v>Individual Men Rx</x:v>
      </x:c>
      <x:c r="H7" s="57" t="str">
        <x:v>S20</x:v>
      </x:c>
      <x:c r="I7" s="57" t="str">
        <x:v>https://games.crossfit.com/workouts/open/2017/3</x:v>
      </x:c>
    </x:row>
    <x:row r="8" ht="42" customHeight="1">
      <x:c r="A8" s="57" t="n">
        <x:v>2017</x:v>
      </x:c>
      <x:c r="B8" s="57" t="str">
        <x:v>17.4</x:v>
      </x:c>
      <x:c r="C8" s="57" t="str">
        <x:v>AMRAP</x:v>
      </x:c>
      <x:c r="D8" s="57" t="str">
        <x:v>13 min</x:v>
      </x:c>
      <x:c r="E8" s="57" t="str">
        <x:v>Deadlift|Wall-ball Shot|Row Erg|Handstand Push-up</x:v>
      </x:c>
      <x:c r="F8" s="57" t="str">
        <x:v>55 reps/calories per movement</x:v>
      </x:c>
      <x:c r="G8" s="57" t="str">
        <x:v>Individual Men Rx</x:v>
      </x:c>
      <x:c r="H8" s="57" t="str">
        <x:v>S20</x:v>
      </x:c>
      <x:c r="I8" s="57" t="str">
        <x:v>https://games.crossfit.com/workouts/open/2017/4</x:v>
      </x:c>
    </x:row>
    <x:row r="9" ht="42" customHeight="1">
      <x:c r="A9" s="57" t="n">
        <x:v>2017</x:v>
      </x:c>
      <x:c r="B9" s="57" t="str">
        <x:v>17.5</x:v>
      </x:c>
      <x:c r="C9" s="57" t="str">
        <x:v>For time</x:v>
      </x:c>
      <x:c r="D9" s="57" t="str">
        <x:v>No listed cap</x:v>
      </x:c>
      <x:c r="E9" s="57" t="str">
        <x:v>Thruster|Double-under</x:v>
      </x:c>
      <x:c r="F9" s="57" t="str">
        <x:v>10 rounds</x:v>
      </x:c>
      <x:c r="G9" s="57" t="str">
        <x:v>Individual Men Rx</x:v>
      </x:c>
      <x:c r="H9" s="57" t="str">
        <x:v>S20</x:v>
      </x:c>
      <x:c r="I9" s="57" t="str">
        <x:v>https://games.crossfit.com/workouts/open/2017/5</x:v>
      </x:c>
    </x:row>
    <x:row r="10" ht="42" customHeight="1">
      <x:c r="A10" s="57" t="n">
        <x:v>2018</x:v>
      </x:c>
      <x:c r="B10" s="57" t="str">
        <x:v>18.1</x:v>
      </x:c>
      <x:c r="C10" s="57" t="str">
        <x:v>AMRAP</x:v>
      </x:c>
      <x:c r="D10" s="57" t="str">
        <x:v>20 min</x:v>
      </x:c>
      <x:c r="E10" s="57" t="str">
        <x:v>Toes-to-bar|Dumbbell Hang Clean and Jerk|Row Erg</x:v>
      </x:c>
      <x:c r="F10" s="57" t="str">
        <x:v>8/10/14-cal triplet</x:v>
      </x:c>
      <x:c r="G10" s="57" t="str">
        <x:v>Individual Men Rx</x:v>
      </x:c>
      <x:c r="H10" s="57" t="str">
        <x:v>S21</x:v>
      </x:c>
      <x:c r="I10" s="57" t="str">
        <x:v>https://games.crossfit.com/workouts/open/2018</x:v>
      </x:c>
    </x:row>
    <x:row r="11" ht="42" customHeight="1">
      <x:c r="A11" s="57" t="n">
        <x:v>2018</x:v>
      </x:c>
      <x:c r="B11" s="57" t="str">
        <x:v>18.2 + 18.2a</x:v>
      </x:c>
      <x:c r="C11" s="57" t="str">
        <x:v>For time + max load</x:v>
      </x:c>
      <x:c r="D11" s="57" t="str">
        <x:v>12 min total</x:v>
      </x:c>
      <x:c r="E11" s="57" t="str">
        <x:v>Dumbbell Squat|Bar-facing Burpee|Clean</x:v>
      </x:c>
      <x:c r="F11" s="57" t="str">
        <x:v>1–10 couplet, then 1RM clean</x:v>
      </x:c>
      <x:c r="G11" s="57" t="str">
        <x:v>Individual Men Rx</x:v>
      </x:c>
      <x:c r="H11" s="57" t="str">
        <x:v>S21</x:v>
      </x:c>
      <x:c r="I11" s="57" t="str">
        <x:v>https://games.crossfit.com/workouts/open/2018/2</x:v>
      </x:c>
    </x:row>
    <x:row r="12" ht="42" customHeight="1">
      <x:c r="A12" s="57" t="n">
        <x:v>2018</x:v>
      </x:c>
      <x:c r="B12" s="57" t="str">
        <x:v>18.3</x:v>
      </x:c>
      <x:c r="C12" s="57" t="str">
        <x:v>For time</x:v>
      </x:c>
      <x:c r="D12" s="57" t="str">
        <x:v>14 min</x:v>
      </x:c>
      <x:c r="E12" s="57" t="str">
        <x:v>Double-under|Overhead Squat|Ring Muscle-up|Dumbbell Snatch|Bar Muscle-up</x:v>
      </x:c>
      <x:c r="F12" s="57" t="str">
        <x:v>Two-round high-skill chipper</x:v>
      </x:c>
      <x:c r="G12" s="57" t="str">
        <x:v>Individual Men Rx</x:v>
      </x:c>
      <x:c r="H12" s="57" t="str">
        <x:v>S21</x:v>
      </x:c>
      <x:c r="I12" s="57" t="str">
        <x:v>https://games.crossfit.com/workouts/open/2018/3</x:v>
      </x:c>
    </x:row>
    <x:row r="13" ht="42" customHeight="1">
      <x:c r="A13" s="57" t="n">
        <x:v>2018</x:v>
      </x:c>
      <x:c r="B13" s="57" t="str">
        <x:v>18.4</x:v>
      </x:c>
      <x:c r="C13" s="57" t="str">
        <x:v>For time</x:v>
      </x:c>
      <x:c r="D13" s="57" t="str">
        <x:v>9 min</x:v>
      </x:c>
      <x:c r="E13" s="57" t="str">
        <x:v>Deadlift|Handstand Push-up|Handstand Walk</x:v>
      </x:c>
      <x:c r="F13" s="57" t="str">
        <x:v>Heavier deadlift after 21-15-9</x:v>
      </x:c>
      <x:c r="G13" s="57" t="str">
        <x:v>Individual Men Rx</x:v>
      </x:c>
      <x:c r="H13" s="57" t="str">
        <x:v>S21</x:v>
      </x:c>
      <x:c r="I13" s="57" t="str">
        <x:v>https://games.crossfit.com/workouts/open/2018/4</x:v>
      </x:c>
    </x:row>
    <x:row r="14" ht="42" customHeight="1">
      <x:c r="A14" s="57" t="n">
        <x:v>2018</x:v>
      </x:c>
      <x:c r="B14" s="57" t="str">
        <x:v>18.5</x:v>
      </x:c>
      <x:c r="C14" s="57" t="str">
        <x:v>AMRAP</x:v>
      </x:c>
      <x:c r="D14" s="57" t="str">
        <x:v>7 min</x:v>
      </x:c>
      <x:c r="E14" s="57" t="str">
        <x:v>Thruster|Chest-to-bar Pull-up</x:v>
      </x:c>
      <x:c r="F14" s="57" t="str">
        <x:v>Ascending 3s</x:v>
      </x:c>
      <x:c r="G14" s="57" t="str">
        <x:v>Individual Men Rx</x:v>
      </x:c>
      <x:c r="H14" s="57" t="str">
        <x:v>S21</x:v>
      </x:c>
      <x:c r="I14" s="57" t="str">
        <x:v>https://games.crossfit.com/workouts/open/2018/5</x:v>
      </x:c>
    </x:row>
    <x:row r="15" ht="42" customHeight="1">
      <x:c r="A15" s="57" t="n">
        <x:v>2019</x:v>
      </x:c>
      <x:c r="B15" s="57" t="str">
        <x:v>19.1</x:v>
      </x:c>
      <x:c r="C15" s="57" t="str">
        <x:v>AMRAP</x:v>
      </x:c>
      <x:c r="D15" s="57" t="str">
        <x:v>15 min</x:v>
      </x:c>
      <x:c r="E15" s="57" t="str">
        <x:v>Wall-ball Shot|Row Erg</x:v>
      </x:c>
      <x:c r="F15" s="57" t="str">
        <x:v>19 reps/cal couplet</x:v>
      </x:c>
      <x:c r="G15" s="57" t="str">
        <x:v>Individual Men Rx</x:v>
      </x:c>
      <x:c r="H15" s="57" t="str">
        <x:v>S22</x:v>
      </x:c>
      <x:c r="I15" s="57" t="str">
        <x:v>https://games.crossfit.com/workouts/open/2019</x:v>
      </x:c>
    </x:row>
    <x:row r="16" ht="42" customHeight="1">
      <x:c r="A16" s="57" t="n">
        <x:v>2019</x:v>
      </x:c>
      <x:c r="B16" s="57" t="str">
        <x:v>19.2</x:v>
      </x:c>
      <x:c r="C16" s="57" t="str">
        <x:v>Time-gated rounds</x:v>
      </x:c>
      <x:c r="D16" s="57" t="str">
        <x:v>8–20 min gates</x:v>
      </x:c>
      <x:c r="E16" s="57" t="str">
        <x:v>Toes-to-bar|Double-under|Squat Clean</x:v>
      </x:c>
      <x:c r="F16" s="57" t="str">
        <x:v>Heavier cleans at successive gates</x:v>
      </x:c>
      <x:c r="G16" s="57" t="str">
        <x:v>Individual Men Rx</x:v>
      </x:c>
      <x:c r="H16" s="57" t="str">
        <x:v>S22</x:v>
      </x:c>
      <x:c r="I16" s="57" t="str">
        <x:v>https://games.crossfit.com/workouts/open/2019/2</x:v>
      </x:c>
    </x:row>
    <x:row r="17" ht="42" customHeight="1">
      <x:c r="A17" s="57" t="n">
        <x:v>2019</x:v>
      </x:c>
      <x:c r="B17" s="57" t="str">
        <x:v>19.3</x:v>
      </x:c>
      <x:c r="C17" s="57" t="str">
        <x:v>For time</x:v>
      </x:c>
      <x:c r="D17" s="57" t="str">
        <x:v>10 min</x:v>
      </x:c>
      <x:c r="E17" s="57" t="str">
        <x:v>Dumbbell Overhead Walking Lunge|Dumbbell Box Step-up|Strict Handstand Push-up|Handstand Walk</x:v>
      </x:c>
      <x:c r="F17" s="57" t="str">
        <x:v>200-ft/50/50/200-ft chipper</x:v>
      </x:c>
      <x:c r="G17" s="57" t="str">
        <x:v>Individual Men Rx</x:v>
      </x:c>
      <x:c r="H17" s="57" t="str">
        <x:v>S22</x:v>
      </x:c>
      <x:c r="I17" s="57" t="str">
        <x:v>https://games.crossfit.com/workouts/open/2019/3</x:v>
      </x:c>
    </x:row>
    <x:row r="18" ht="42" customHeight="1">
      <x:c r="A18" s="57" t="n">
        <x:v>2019</x:v>
      </x:c>
      <x:c r="B18" s="57" t="str">
        <x:v>19.4</x:v>
      </x:c>
      <x:c r="C18" s="57" t="str">
        <x:v>For total time</x:v>
      </x:c>
      <x:c r="D18" s="57" t="str">
        <x:v>12 min</x:v>
      </x:c>
      <x:c r="E18" s="57" t="str">
        <x:v>Snatch|Bar-facing Burpee|Bar Muscle-up</x:v>
      </x:c>
      <x:c r="F18" s="57" t="str">
        <x:v>Three rounds, 3-min rest, three rounds</x:v>
      </x:c>
      <x:c r="G18" s="57" t="str">
        <x:v>Individual Men Rx</x:v>
      </x:c>
      <x:c r="H18" s="57" t="str">
        <x:v>S22</x:v>
      </x:c>
      <x:c r="I18" s="57" t="str">
        <x:v>https://games.crossfit.com/workouts/open/2019/4</x:v>
      </x:c>
    </x:row>
    <x:row r="19" ht="42" customHeight="1">
      <x:c r="A19" s="57" t="n">
        <x:v>2019</x:v>
      </x:c>
      <x:c r="B19" s="57" t="str">
        <x:v>19.5</x:v>
      </x:c>
      <x:c r="C19" s="57" t="str">
        <x:v>For time</x:v>
      </x:c>
      <x:c r="D19" s="57" t="str">
        <x:v>20 min</x:v>
      </x:c>
      <x:c r="E19" s="57" t="str">
        <x:v>Thruster|Chest-to-bar Pull-up</x:v>
      </x:c>
      <x:c r="F19" s="57" t="str">
        <x:v>33-27-21-15-9</x:v>
      </x:c>
      <x:c r="G19" s="57" t="str">
        <x:v>Individual Men Rx</x:v>
      </x:c>
      <x:c r="H19" s="57" t="str">
        <x:v>S22</x:v>
      </x:c>
      <x:c r="I19" s="57" t="str">
        <x:v>https://games.crossfit.com/workouts/open/2019/5</x:v>
      </x:c>
    </x:row>
    <x:row r="20" ht="42" customHeight="1">
      <x:c r="A20" s="57" t="n">
        <x:v>2020</x:v>
      </x:c>
      <x:c r="B20" s="57" t="str">
        <x:v>20.1</x:v>
      </x:c>
      <x:c r="C20" s="57" t="str">
        <x:v>For time</x:v>
      </x:c>
      <x:c r="D20" s="57" t="str">
        <x:v>15 min</x:v>
      </x:c>
      <x:c r="E20" s="57" t="str">
        <x:v>Ground-to-Overhead|Bar-facing Burpee</x:v>
      </x:c>
      <x:c r="F20" s="57" t="str">
        <x:v>10 rounds</x:v>
      </x:c>
      <x:c r="G20" s="57" t="str">
        <x:v>Individual Men Rx</x:v>
      </x:c>
      <x:c r="H20" s="57" t="str">
        <x:v>S23</x:v>
      </x:c>
      <x:c r="I20" s="57" t="str">
        <x:v>https://games.crossfit.com/workouts/open/2020</x:v>
      </x:c>
    </x:row>
    <x:row r="21" ht="42" customHeight="1">
      <x:c r="A21" s="57" t="n">
        <x:v>2020</x:v>
      </x:c>
      <x:c r="B21" s="57" t="str">
        <x:v>20.2</x:v>
      </x:c>
      <x:c r="C21" s="57" t="str">
        <x:v>AMRAP</x:v>
      </x:c>
      <x:c r="D21" s="57" t="str">
        <x:v>20 min</x:v>
      </x:c>
      <x:c r="E21" s="57" t="str">
        <x:v>Dumbbell Thruster|Toes-to-bar|Double-under</x:v>
      </x:c>
      <x:c r="F21" s="57" t="str">
        <x:v>4/6/24 triplet</x:v>
      </x:c>
      <x:c r="G21" s="57" t="str">
        <x:v>Individual Men Rx</x:v>
      </x:c>
      <x:c r="H21" s="57" t="str">
        <x:v>S23</x:v>
      </x:c>
      <x:c r="I21" s="57" t="str">
        <x:v>https://games.crossfit.com/workouts/open/2020/2</x:v>
      </x:c>
    </x:row>
    <x:row r="22" ht="42" customHeight="1">
      <x:c r="A22" s="57" t="n">
        <x:v>2020</x:v>
      </x:c>
      <x:c r="B22" s="57" t="str">
        <x:v>20.3</x:v>
      </x:c>
      <x:c r="C22" s="57" t="str">
        <x:v>For time</x:v>
      </x:c>
      <x:c r="D22" s="57" t="str">
        <x:v>9 min</x:v>
      </x:c>
      <x:c r="E22" s="57" t="str">
        <x:v>Deadlift|Handstand Push-up|Handstand Walk</x:v>
      </x:c>
      <x:c r="F22" s="57" t="str">
        <x:v>Deadlift/HSPU then heavier deadlift/HSW</x:v>
      </x:c>
      <x:c r="G22" s="57" t="str">
        <x:v>Individual Men Rx</x:v>
      </x:c>
      <x:c r="H22" s="57" t="str">
        <x:v>S23</x:v>
      </x:c>
      <x:c r="I22" s="57" t="str">
        <x:v>https://games.crossfit.com/workouts/open/2020/3</x:v>
      </x:c>
    </x:row>
    <x:row r="23" ht="42" customHeight="1">
      <x:c r="A23" s="57" t="n">
        <x:v>2020</x:v>
      </x:c>
      <x:c r="B23" s="57" t="str">
        <x:v>20.4</x:v>
      </x:c>
      <x:c r="C23" s="57" t="str">
        <x:v>For time</x:v>
      </x:c>
      <x:c r="D23" s="57" t="str">
        <x:v>20 min</x:v>
      </x:c>
      <x:c r="E23" s="57" t="str">
        <x:v>Box Jump|Clean and Jerk|Pistol Squat</x:v>
      </x:c>
      <x:c r="F23" s="57" t="str">
        <x:v>Progressively heavier clean and jerks</x:v>
      </x:c>
      <x:c r="G23" s="57" t="str">
        <x:v>Individual Men Rx</x:v>
      </x:c>
      <x:c r="H23" s="57" t="str">
        <x:v>S23</x:v>
      </x:c>
      <x:c r="I23" s="57" t="str">
        <x:v>https://games.crossfit.com/workouts/open/2020/4</x:v>
      </x:c>
    </x:row>
    <x:row r="24" ht="42" customHeight="1">
      <x:c r="A24" s="57" t="n">
        <x:v>2020</x:v>
      </x:c>
      <x:c r="B24" s="57" t="str">
        <x:v>20.5</x:v>
      </x:c>
      <x:c r="C24" s="57" t="str">
        <x:v>For time</x:v>
      </x:c>
      <x:c r="D24" s="57" t="str">
        <x:v>20 min</x:v>
      </x:c>
      <x:c r="E24" s="57" t="str">
        <x:v>Ring Muscle-up|Row Erg|Wall-ball Shot</x:v>
      </x:c>
      <x:c r="F24" s="57" t="str">
        <x:v>Partition in any manner</x:v>
      </x:c>
      <x:c r="G24" s="57" t="str">
        <x:v>Individual Men Rx</x:v>
      </x:c>
      <x:c r="H24" s="57" t="str">
        <x:v>S23</x:v>
      </x:c>
      <x:c r="I24" s="57" t="str">
        <x:v>https://games.crossfit.com/workouts/open/2020/5</x:v>
      </x:c>
    </x:row>
    <x:row r="25" ht="42" customHeight="1">
      <x:c r="A25" s="57" t="n">
        <x:v>2021</x:v>
      </x:c>
      <x:c r="B25" s="57" t="str">
        <x:v>21.1</x:v>
      </x:c>
      <x:c r="C25" s="57" t="str">
        <x:v>For time</x:v>
      </x:c>
      <x:c r="D25" s="57" t="str">
        <x:v>15 min</x:v>
      </x:c>
      <x:c r="E25" s="57" t="str">
        <x:v>Wall Walk|Double-under</x:v>
      </x:c>
      <x:c r="F25" s="57" t="str">
        <x:v>Ascending wall walks and double-unders</x:v>
      </x:c>
      <x:c r="G25" s="57" t="str">
        <x:v>Individual Men Rx</x:v>
      </x:c>
      <x:c r="H25" s="57" t="str">
        <x:v>S24</x:v>
      </x:c>
      <x:c r="I25" s="57" t="str">
        <x:v>https://games.crossfit.com/workouts/open/2021</x:v>
      </x:c>
    </x:row>
    <x:row r="26" ht="42" customHeight="1">
      <x:c r="A26" s="57" t="n">
        <x:v>2021</x:v>
      </x:c>
      <x:c r="B26" s="57" t="str">
        <x:v>21.2</x:v>
      </x:c>
      <x:c r="C26" s="57" t="str">
        <x:v>For time</x:v>
      </x:c>
      <x:c r="D26" s="57" t="str">
        <x:v>20 min</x:v>
      </x:c>
      <x:c r="E26" s="57" t="str">
        <x:v>Dumbbell Snatch|Burpee Box Jump-over</x:v>
      </x:c>
      <x:c r="F26" s="57" t="str">
        <x:v>Repeat of 17.1 pattern</x:v>
      </x:c>
      <x:c r="G26" s="57" t="str">
        <x:v>Individual Men Rx</x:v>
      </x:c>
      <x:c r="H26" s="57" t="str">
        <x:v>S24</x:v>
      </x:c>
      <x:c r="I26" s="57" t="str">
        <x:v>https://games.crossfit.com/workouts/open/2021/2</x:v>
      </x:c>
    </x:row>
    <x:row r="27" ht="42" customHeight="1">
      <x:c r="A27" s="57" t="n">
        <x:v>2021</x:v>
      </x:c>
      <x:c r="B27" s="57" t="str">
        <x:v>21.3</x:v>
      </x:c>
      <x:c r="C27" s="57" t="str">
        <x:v>For time</x:v>
      </x:c>
      <x:c r="D27" s="57" t="str">
        <x:v>15 min</x:v>
      </x:c>
      <x:c r="E27" s="57" t="str">
        <x:v>Front Squat|Toes-to-bar|Thruster|Chest-to-bar Pull-up|Bar Muscle-up</x:v>
      </x:c>
      <x:c r="F27" s="57" t="str">
        <x:v>Three intervals separated by one-minute rests</x:v>
      </x:c>
      <x:c r="G27" s="57" t="str">
        <x:v>Individual Men Rx</x:v>
      </x:c>
      <x:c r="H27" s="57" t="str">
        <x:v>S24</x:v>
      </x:c>
      <x:c r="I27" s="57" t="str">
        <x:v>https://games.crossfit.com/workouts/open/2021/3</x:v>
      </x:c>
    </x:row>
    <x:row r="28" ht="42" customHeight="1">
      <x:c r="A28" s="57" t="n">
        <x:v>2021</x:v>
      </x:c>
      <x:c r="B28" s="57" t="str">
        <x:v>21.4</x:v>
      </x:c>
      <x:c r="C28" s="57" t="str">
        <x:v>Max load complex</x:v>
      </x:c>
      <x:c r="D28" s="57" t="str">
        <x:v>7 min</x:v>
      </x:c>
      <x:c r="E28" s="57" t="str">
        <x:v>Deadlift|Clean|Hang Clean|Jerk</x:v>
      </x:c>
      <x:c r="F28" s="57" t="str">
        <x:v>Complex after 21.3</x:v>
      </x:c>
      <x:c r="G28" s="57" t="str">
        <x:v>Individual Men Rx</x:v>
      </x:c>
      <x:c r="H28" s="57" t="str">
        <x:v>S24</x:v>
      </x:c>
      <x:c r="I28" s="57" t="str">
        <x:v>https://games.crossfit.com/workouts/open/2021/4</x:v>
      </x:c>
    </x:row>
    <x:row r="29" ht="42" customHeight="1">
      <x:c r="A29" s="57" t="n">
        <x:v>2022</x:v>
      </x:c>
      <x:c r="B29" s="57" t="str">
        <x:v>22.1</x:v>
      </x:c>
      <x:c r="C29" s="57" t="str">
        <x:v>AMRAP</x:v>
      </x:c>
      <x:c r="D29" s="57" t="str">
        <x:v>15 min</x:v>
      </x:c>
      <x:c r="E29" s="57" t="str">
        <x:v>Wall Walk|Dumbbell Snatch|Box Jump-over</x:v>
      </x:c>
      <x:c r="F29" s="57" t="str">
        <x:v>3/12/15 triplet</x:v>
      </x:c>
      <x:c r="G29" s="57" t="str">
        <x:v>Individual Men Rx</x:v>
      </x:c>
      <x:c r="H29" s="57" t="str">
        <x:v>S25</x:v>
      </x:c>
      <x:c r="I29" s="57" t="str">
        <x:v>https://games.crossfit.com/workouts/open/2022</x:v>
      </x:c>
    </x:row>
    <x:row r="30" ht="42" customHeight="1">
      <x:c r="A30" s="57" t="n">
        <x:v>2022</x:v>
      </x:c>
      <x:c r="B30" s="57" t="str">
        <x:v>22.2</x:v>
      </x:c>
      <x:c r="C30" s="57" t="str">
        <x:v>For time</x:v>
      </x:c>
      <x:c r="D30" s="57" t="str">
        <x:v>10 min</x:v>
      </x:c>
      <x:c r="E30" s="57" t="str">
        <x:v>Deadlift|Bar-facing Burpee</x:v>
      </x:c>
      <x:c r="F30" s="57" t="str">
        <x:v>1–10–1 ladder</x:v>
      </x:c>
      <x:c r="G30" s="57" t="str">
        <x:v>Individual Men Rx</x:v>
      </x:c>
      <x:c r="H30" s="57" t="str">
        <x:v>S25</x:v>
      </x:c>
      <x:c r="I30" s="57" t="str">
        <x:v>https://games.crossfit.com/workouts/open/2022/2</x:v>
      </x:c>
    </x:row>
    <x:row r="31" ht="42" customHeight="1">
      <x:c r="A31" s="57" t="n">
        <x:v>2022</x:v>
      </x:c>
      <x:c r="B31" s="57" t="str">
        <x:v>22.3</x:v>
      </x:c>
      <x:c r="C31" s="57" t="str">
        <x:v>For time</x:v>
      </x:c>
      <x:c r="D31" s="57" t="str">
        <x:v>12 min</x:v>
      </x:c>
      <x:c r="E31" s="57" t="str">
        <x:v>Pull-up|Double-under|Thruster|Chest-to-bar Pull-up|Bar Muscle-up</x:v>
      </x:c>
      <x:c r="F31" s="57" t="str">
        <x:v>Gymnastics and thruster progression</x:v>
      </x:c>
      <x:c r="G31" s="57" t="str">
        <x:v>Individual Men Rx</x:v>
      </x:c>
      <x:c r="H31" s="57" t="str">
        <x:v>S25</x:v>
      </x:c>
      <x:c r="I31" s="57" t="str">
        <x:v>https://games.crossfit.com/workouts/open/2022/3</x:v>
      </x:c>
    </x:row>
    <x:row r="32" ht="42" customHeight="1">
      <x:c r="A32" s="57" t="n">
        <x:v>2023</x:v>
      </x:c>
      <x:c r="B32" s="57" t="str">
        <x:v>23.1</x:v>
      </x:c>
      <x:c r="C32" s="57" t="str">
        <x:v>AMRAP</x:v>
      </x:c>
      <x:c r="D32" s="57" t="str">
        <x:v>14 min</x:v>
      </x:c>
      <x:c r="E32" s="57" t="str">
        <x:v>Row Erg|Toes-to-bar|Wall-ball Shot|Clean|Ring Muscle-up</x:v>
      </x:c>
      <x:c r="F32" s="57" t="str">
        <x:v>Repeat of 14.4</x:v>
      </x:c>
      <x:c r="G32" s="57" t="str">
        <x:v>Individual Men Rx</x:v>
      </x:c>
      <x:c r="H32" s="57" t="str">
        <x:v>S26</x:v>
      </x:c>
      <x:c r="I32" s="57" t="str">
        <x:v>https://games.crossfit.com/workouts/open/2023</x:v>
      </x:c>
    </x:row>
    <x:row r="33" ht="42" customHeight="1">
      <x:c r="A33" s="57" t="n">
        <x:v>2023</x:v>
      </x:c>
      <x:c r="B33" s="57" t="str">
        <x:v>23.2A + 23.2B</x:v>
      </x:c>
      <x:c r="C33" s="57" t="str">
        <x:v>AMRAP + max load</x:v>
      </x:c>
      <x:c r="D33" s="57" t="str">
        <x:v>15 min + 5 min</x:v>
      </x:c>
      <x:c r="E33" s="57" t="str">
        <x:v>Burpee Pull-up|Shuttle Run|Thruster</x:v>
      </x:c>
      <x:c r="F33" s="57" t="str">
        <x:v>Conditioning then 1RM thruster</x:v>
      </x:c>
      <x:c r="G33" s="57" t="str">
        <x:v>Individual Men Rx</x:v>
      </x:c>
      <x:c r="H33" s="57" t="str">
        <x:v>S26</x:v>
      </x:c>
      <x:c r="I33" s="57" t="str">
        <x:v>https://games.crossfit.com/workouts/open/2023/2</x:v>
      </x:c>
    </x:row>
    <x:row r="34" ht="42" customHeight="1">
      <x:c r="A34" s="57" t="n">
        <x:v>2023</x:v>
      </x:c>
      <x:c r="B34" s="57" t="str">
        <x:v>23.3</x:v>
      </x:c>
      <x:c r="C34" s="57" t="str">
        <x:v>For time</x:v>
      </x:c>
      <x:c r="D34" s="57" t="str">
        <x:v>6–12 min gates</x:v>
      </x:c>
      <x:c r="E34" s="57" t="str">
        <x:v>Wall Walk|Double-under|Snatch|Strict Handstand Push-up</x:v>
      </x:c>
      <x:c r="F34" s="57" t="str">
        <x:v>Heavier snatches and time extensions</x:v>
      </x:c>
      <x:c r="G34" s="57" t="str">
        <x:v>Individual Men Rx</x:v>
      </x:c>
      <x:c r="H34" s="57" t="str">
        <x:v>S26</x:v>
      </x:c>
      <x:c r="I34" s="57" t="str">
        <x:v>https://games.crossfit.com/workouts/open/2023/3</x:v>
      </x:c>
    </x:row>
    <x:row r="35" ht="42" customHeight="1">
      <x:c r="A35" s="57" t="n">
        <x:v>2024</x:v>
      </x:c>
      <x:c r="B35" s="57" t="str">
        <x:v>24.1</x:v>
      </x:c>
      <x:c r="C35" s="57" t="str">
        <x:v>For time</x:v>
      </x:c>
      <x:c r="D35" s="57" t="str">
        <x:v>15 min</x:v>
      </x:c>
      <x:c r="E35" s="57" t="str">
        <x:v>Dumbbell Snatch|Lateral Burpee over Dumbbell</x:v>
      </x:c>
      <x:c r="F35" s="57" t="str">
        <x:v>Left/right DB snatch segments</x:v>
      </x:c>
      <x:c r="G35" s="57" t="str">
        <x:v>Individual Men Rx</x:v>
      </x:c>
      <x:c r="H35" s="57" t="str">
        <x:v>S27</x:v>
      </x:c>
      <x:c r="I35" s="57" t="str">
        <x:v>https://games.crossfit.com/workouts/open/2024</x:v>
      </x:c>
    </x:row>
    <x:row r="36" ht="42" customHeight="1">
      <x:c r="A36" s="57" t="n">
        <x:v>2024</x:v>
      </x:c>
      <x:c r="B36" s="57" t="str">
        <x:v>24.2</x:v>
      </x:c>
      <x:c r="C36" s="57" t="str">
        <x:v>AMRAP</x:v>
      </x:c>
      <x:c r="D36" s="57" t="str">
        <x:v>20 min</x:v>
      </x:c>
      <x:c r="E36" s="57" t="str">
        <x:v>Row Erg|Deadlift|Double-under</x:v>
      </x:c>
      <x:c r="F36" s="57" t="str">
        <x:v>300-m/10/50 triplet</x:v>
      </x:c>
      <x:c r="G36" s="57" t="str">
        <x:v>Individual Men Rx</x:v>
      </x:c>
      <x:c r="H36" s="57" t="str">
        <x:v>S27</x:v>
      </x:c>
      <x:c r="I36" s="57" t="str">
        <x:v>https://games.crossfit.com/workouts/open/2024/2</x:v>
      </x:c>
    </x:row>
    <x:row r="37" ht="42" customHeight="1">
      <x:c r="A37" s="57" t="n">
        <x:v>2024</x:v>
      </x:c>
      <x:c r="B37" s="57" t="str">
        <x:v>24.3</x:v>
      </x:c>
      <x:c r="C37" s="57" t="str">
        <x:v>For time</x:v>
      </x:c>
      <x:c r="D37" s="57" t="str">
        <x:v>15 min</x:v>
      </x:c>
      <x:c r="E37" s="57" t="str">
        <x:v>Thruster|Chest-to-bar Pull-up|Bar Muscle-up</x:v>
      </x:c>
      <x:c r="F37" s="57" t="str">
        <x:v>Five rounds, rest, five rounds</x:v>
      </x:c>
      <x:c r="G37" s="57" t="str">
        <x:v>Individual Men Rx</x:v>
      </x:c>
      <x:c r="H37" s="57" t="str">
        <x:v>S27</x:v>
      </x:c>
      <x:c r="I37" s="57" t="str">
        <x:v>https://games.crossfit.com/workouts/open/2024/3</x:v>
      </x:c>
    </x:row>
    <x:row r="38" ht="42" customHeight="1">
      <x:c r="A38" s="57" t="n">
        <x:v>2025</x:v>
      </x:c>
      <x:c r="B38" s="57" t="str">
        <x:v>25.1</x:v>
      </x:c>
      <x:c r="C38" s="57" t="str">
        <x:v>AMRAP</x:v>
      </x:c>
      <x:c r="D38" s="57" t="str">
        <x:v>15 min</x:v>
      </x:c>
      <x:c r="E38" s="57" t="str">
        <x:v>Lateral Burpee over Dumbbell|Dumbbell Hang Clean-to-Overhead|Walking Lunge</x:v>
      </x:c>
      <x:c r="F38" s="57" t="str">
        <x:v>Ascending burpees and DB clean-to-overheads</x:v>
      </x:c>
      <x:c r="G38" s="57" t="str">
        <x:v>Individual Men Rx</x:v>
      </x:c>
      <x:c r="H38" s="57" t="str">
        <x:v>S28</x:v>
      </x:c>
      <x:c r="I38" s="57" t="str">
        <x:v>https://games.crossfit.com/workouts/open/2025</x:v>
      </x:c>
    </x:row>
    <x:row r="39" ht="42" customHeight="1">
      <x:c r="A39" s="57" t="n">
        <x:v>2025</x:v>
      </x:c>
      <x:c r="B39" s="57" t="str">
        <x:v>25.2</x:v>
      </x:c>
      <x:c r="C39" s="57" t="str">
        <x:v>For time</x:v>
      </x:c>
      <x:c r="D39" s="57" t="str">
        <x:v>12 min</x:v>
      </x:c>
      <x:c r="E39" s="57" t="str">
        <x:v>Pull-up|Double-under|Thruster|Chest-to-bar Pull-up|Bar Muscle-up</x:v>
      </x:c>
      <x:c r="F39" s="57" t="str">
        <x:v>Repeat of 22.3</x:v>
      </x:c>
      <x:c r="G39" s="57" t="str">
        <x:v>Individual Men Rx</x:v>
      </x:c>
      <x:c r="H39" s="57" t="str">
        <x:v>S28</x:v>
      </x:c>
      <x:c r="I39" s="57" t="str">
        <x:v>https://games.crossfit.com/workouts/open/2025/2</x:v>
      </x:c>
    </x:row>
    <x:row r="40" ht="42" customHeight="1">
      <x:c r="A40" s="57" t="n">
        <x:v>2025</x:v>
      </x:c>
      <x:c r="B40" s="57" t="str">
        <x:v>25.3</x:v>
      </x:c>
      <x:c r="C40" s="57" t="str">
        <x:v>For time</x:v>
      </x:c>
      <x:c r="D40" s="57" t="str">
        <x:v>20 min</x:v>
      </x:c>
      <x:c r="E40" s="57" t="str">
        <x:v>Wall Walk|Row Erg|Deadlift|Clean|Snatch</x:v>
      </x:c>
      <x:c r="F40" s="57" t="str">
        <x:v>Wall walk/row with barbell progression</x:v>
      </x:c>
      <x:c r="G40" s="57" t="str">
        <x:v>Individual Men Rx</x:v>
      </x:c>
      <x:c r="H40" s="57" t="str">
        <x:v>S28</x:v>
      </x:c>
      <x:c r="I40" s="57" t="str">
        <x:v>https://games.crossfit.com/workouts/open/2025/3</x:v>
      </x:c>
    </x:row>
    <x:row r="41" ht="42" customHeight="1">
      <x:c r="A41" s="57" t="n">
        <x:v>2026</x:v>
      </x:c>
      <x:c r="B41" s="57" t="str">
        <x:v>26.1</x:v>
      </x:c>
      <x:c r="C41" s="57" t="str">
        <x:v>For time</x:v>
      </x:c>
      <x:c r="D41" s="57" t="str">
        <x:v>12 min</x:v>
      </x:c>
      <x:c r="E41" s="57" t="str">
        <x:v>Wall-ball Shot|Box Jump-over|Medicine-ball Box Step-over</x:v>
      </x:c>
      <x:c r="F41" s="57" t="str">
        <x:v>Ball and box triplet</x:v>
      </x:c>
      <x:c r="G41" s="57" t="str">
        <x:v>Individual Men Rx</x:v>
      </x:c>
      <x:c r="H41" s="57" t="str">
        <x:v>S29</x:v>
      </x:c>
      <x:c r="I41" s="57" t="str">
        <x:v>https://games.crossfit.com/workouts/open/2026</x:v>
      </x:c>
    </x:row>
    <x:row r="42" ht="42" customHeight="1">
      <x:c r="A42" s="57" t="n">
        <x:v>2026</x:v>
      </x:c>
      <x:c r="B42" s="57" t="str">
        <x:v>26.2</x:v>
      </x:c>
      <x:c r="C42" s="57" t="str">
        <x:v>For time</x:v>
      </x:c>
      <x:c r="D42" s="57" t="str">
        <x:v>15 min</x:v>
      </x:c>
      <x:c r="E42" s="57" t="str">
        <x:v>Dumbbell Overhead Walking Lunge|Dumbbell Snatch|Pull-up|Chest-to-bar Pull-up|Bar Muscle-up</x:v>
      </x:c>
      <x:c r="F42" s="57" t="str">
        <x:v>Lunge/snatch with pulling progression</x:v>
      </x:c>
      <x:c r="G42" s="57" t="str">
        <x:v>Individual Men Rx</x:v>
      </x:c>
      <x:c r="H42" s="57" t="str">
        <x:v>S29</x:v>
      </x:c>
      <x:c r="I42" s="57" t="str">
        <x:v>https://games.crossfit.com/workouts/open/2026/2</x:v>
      </x:c>
    </x:row>
    <x:row r="43">
      <x:c r="A43" s="48" t="n">
        <x:v>2026</x:v>
      </x:c>
      <x:c r="B43" s="48" t="str">
        <x:v>26.3</x:v>
      </x:c>
      <x:c r="C43" s="48" t="str">
        <x:v>For time</x:v>
      </x:c>
      <x:c r="D43" s="48" t="str">
        <x:v>16 min</x:v>
      </x:c>
      <x:c r="E43" s="48" t="str">
        <x:v>Burpee over Bar|Clean|Thruster</x:v>
      </x:c>
      <x:c r="F43" s="48" t="str">
        <x:v>Three ascending barbell loads</x:v>
      </x:c>
      <x:c r="G43" s="48" t="str">
        <x:v>Individual Men Rx</x:v>
      </x:c>
      <x:c r="H43" s="48" t="str">
        <x:v>S29</x:v>
      </x:c>
      <x:c r="I43" s="48" t="str">
        <x:v>https://games.crossfit.com/workouts/open/2026/3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c6ae143c15a144e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3" hidden="0" customWidth="1"/>
    <x:col min="4" max="4" width="13" hidden="0" customWidth="1"/>
    <x:col min="5" max="5" width="26" hidden="0" customWidth="1"/>
    <x:col min="6" max="6" width="55" hidden="0" customWidth="1"/>
    <x:col min="7" max="7" width="12" hidden="0" customWidth="1"/>
    <x:col min="8" max="8" width="46" hidden="0" customWidth="1"/>
    <x:col min="9" max="9" width="58" hidden="0" customWidth="1"/>
    <x:col min="10" max="10" width="58" hidden="0" customWidth="1"/>
  </x:cols>
  <x:sheetData>
    <x:row r="1" ht="30" customHeight="1">
      <x:c r="A1" s="54" t="str">
        <x:v>오픈 동작 출현 인덱스</x:v>
      </x:c>
      <x:c r="B1" s="48"/>
      <x:c r="C1" s="48"/>
      <x:c r="D1" s="48"/>
      <x:c r="E1" s="48"/>
      <x:c r="F1" s="48"/>
      <x:c r="G1" s="48"/>
      <x:c r="H1" s="48"/>
      <x:c r="I1" s="48"/>
      <x:c r="J1" s="48"/>
    </x:row>
    <x:row r="2" ht="30" customHeight="1">
      <x:c r="A2" s="55" t="str">
        <x:v>동일 운동의 표기 변형을 ExerciseID에 연결하고 시즌·워크아웃 출현을 집계</x:v>
      </x:c>
      <x:c r="B2" s="48"/>
      <x:c r="C2" s="48"/>
      <x:c r="D2" s="48"/>
      <x:c r="E2" s="48"/>
      <x:c r="F2" s="48"/>
      <x:c r="G2" s="48"/>
      <x:c r="H2" s="48"/>
      <x:c r="I2" s="48"/>
      <x:c r="J2" s="48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</x:row>
    <x:row r="4" ht="32" customHeight="1">
      <x:c r="A4" s="56" t="str">
        <x:v>Canonical movement</x:v>
      </x:c>
      <x:c r="B4" s="56" t="str">
        <x:v>ExerciseID</x:v>
      </x:c>
      <x:c r="C4" s="56" t="str">
        <x:v>워크아웃 수</x:v>
      </x:c>
      <x:c r="D4" s="56" t="str">
        <x:v>시즌 수</x:v>
      </x:c>
      <x:c r="E4" s="56" t="str">
        <x:v>등장 시즌</x:v>
      </x:c>
      <x:c r="F4" s="56" t="str">
        <x:v>등장 워크아웃</x:v>
      </x:c>
      <x:c r="G4" s="56" t="str">
        <x:v>최근 등장</x:v>
      </x:c>
      <x:c r="H4" s="56" t="str">
        <x:v>정규화 메모</x:v>
      </x:c>
      <x:c r="I4" s="56" t="str">
        <x:v>공식 YouTube</x:v>
      </x:c>
      <x:c r="J4" s="56" t="str">
        <x:v>CrossFit Movements</x:v>
      </x:c>
    </x:row>
    <x:row r="5" ht="42" customHeight="1">
      <x:c r="A5" s="57" t="str">
        <x:v>Double-under</x:v>
      </x:c>
      <x:c r="B5" s="57" t="str">
        <x:v>EX055</x:v>
      </x:c>
      <x:c r="C5" s="57" t="n">
        <x:v>9</x:v>
      </x:c>
      <x:c r="D5" s="57" t="n">
        <x:v>9</x:v>
      </x:c>
      <x:c r="E5" s="57" t="str">
        <x:v>2017, 2018, 2019, 2020, 2021, 2022, 2023, 2024, 2025</x:v>
      </x:c>
      <x:c r="F5" s="57" t="str">
        <x:v>17.5, 18.3, 19.2, 20.2, 21.1, 22.3, 23.3, 24.2, 25.2</x:v>
      </x:c>
      <x:c r="G5" s="57" t="n">
        <x:v>2025</x:v>
      </x:c>
      <x:c r="H5" s="57" t="str"/>
      <x:c r="I5" s="57" t="str"/>
      <x:c r="J5" s="57" t="str">
        <x:v>https://www.crossfit.com/essentials/movements</x:v>
      </x:c>
    </x:row>
    <x:row r="6" ht="42" customHeight="1">
      <x:c r="A6" s="57" t="str">
        <x:v>Thruster</x:v>
      </x:c>
      <x:c r="B6" s="57" t="str">
        <x:v>EX084</x:v>
      </x:c>
      <x:c r="C6" s="57" t="n">
        <x:v>9</x:v>
      </x:c>
      <x:c r="D6" s="57" t="n">
        <x:v>9</x:v>
      </x:c>
      <x:c r="E6" s="57" t="str">
        <x:v>2017, 2018, 2019, 2021, 2022, 2023, 2024, 2025, 2026</x:v>
      </x:c>
      <x:c r="F6" s="57" t="str">
        <x:v>17.5, 18.5, 19.5, 21.3, 22.3, 23.2A + 23.2B, 24.3, 25.2, 26.3</x:v>
      </x:c>
      <x:c r="G6" s="57" t="n">
        <x:v>2026</x:v>
      </x:c>
      <x:c r="H6" s="57" t="str"/>
      <x:c r="I6" s="57" t="str">
        <x:v>https://www.youtube.com/watch?v=aea5BGj9a8Y</x:v>
      </x:c>
      <x:c r="J6" s="57" t="str">
        <x:v>https://www.crossfit.com/essentials/movements</x:v>
      </x:c>
    </x:row>
    <x:row r="7" ht="42" customHeight="1">
      <x:c r="A7" s="57" t="str">
        <x:v>Bar Muscle-up</x:v>
      </x:c>
      <x:c r="B7" s="57" t="str">
        <x:v>EX066</x:v>
      </x:c>
      <x:c r="C7" s="57" t="n">
        <x:v>8</x:v>
      </x:c>
      <x:c r="D7" s="57" t="n">
        <x:v>8</x:v>
      </x:c>
      <x:c r="E7" s="57" t="str">
        <x:v>2017, 2018, 2019, 2021, 2022, 2024, 2025, 2026</x:v>
      </x:c>
      <x:c r="F7" s="57" t="str">
        <x:v>17.2, 18.3, 19.4, 21.3, 22.3, 24.3, 25.2, 26.2</x:v>
      </x:c>
      <x:c r="G7" s="57" t="n">
        <x:v>2026</x:v>
      </x:c>
      <x:c r="H7" s="57" t="str"/>
      <x:c r="I7" s="57" t="str">
        <x:v>https://www.youtube.com/watch?v=iUAukdE0QQ4</x:v>
      </x:c>
      <x:c r="J7" s="57" t="str">
        <x:v>https://www.crossfit.com/essentials/movements</x:v>
      </x:c>
    </x:row>
    <x:row r="8" ht="42" customHeight="1">
      <x:c r="A8" s="57" t="str">
        <x:v>Chest-to-bar Pull-up</x:v>
      </x:c>
      <x:c r="B8" s="57" t="str">
        <x:v>EX028</x:v>
      </x:c>
      <x:c r="C8" s="57" t="n">
        <x:v>8</x:v>
      </x:c>
      <x:c r="D8" s="57" t="n">
        <x:v>8</x:v>
      </x:c>
      <x:c r="E8" s="57" t="str">
        <x:v>2017, 2018, 2019, 2021, 2022, 2024, 2025, 2026</x:v>
      </x:c>
      <x:c r="F8" s="57" t="str">
        <x:v>17.3, 18.5, 19.5, 21.3, 22.3, 24.3, 25.2, 26.2</x:v>
      </x:c>
      <x:c r="G8" s="57" t="n">
        <x:v>2026</x:v>
      </x:c>
      <x:c r="H8" s="57" t="str"/>
      <x:c r="I8" s="57" t="str">
        <x:v>https://www.youtube.com/watch?v=p9Stan68FYM</x:v>
      </x:c>
      <x:c r="J8" s="57" t="str">
        <x:v>https://www.crossfit.com/essentials/movements</x:v>
      </x:c>
    </x:row>
    <x:row r="9" ht="42" customHeight="1">
      <x:c r="A9" s="57" t="str">
        <x:v>Deadlift</x:v>
      </x:c>
      <x:c r="B9" s="57" t="str">
        <x:v>EX011</x:v>
      </x:c>
      <x:c r="C9" s="57" t="n">
        <x:v>7</x:v>
      </x:c>
      <x:c r="D9" s="57" t="n">
        <x:v>7</x:v>
      </x:c>
      <x:c r="E9" s="57" t="str">
        <x:v>2017, 2018, 2020, 2021, 2022, 2024, 2025</x:v>
      </x:c>
      <x:c r="F9" s="57" t="str">
        <x:v>17.4, 18.4, 20.3, 21.4, 22.2, 24.2, 25.3</x:v>
      </x:c>
      <x:c r="G9" s="57" t="n">
        <x:v>2025</x:v>
      </x:c>
      <x:c r="H9" s="57" t="str"/>
      <x:c r="I9" s="57" t="str">
        <x:v>https://www.youtube.com/watch?v=op9kVnSso6Q</x:v>
      </x:c>
      <x:c r="J9" s="57" t="str">
        <x:v>https://www.crossfit.com/essentials/movements</x:v>
      </x:c>
    </x:row>
    <x:row r="10" ht="42" customHeight="1">
      <x:c r="A10" s="57" t="str">
        <x:v>Row Erg</x:v>
      </x:c>
      <x:c r="B10" s="57" t="str">
        <x:v>EX069</x:v>
      </x:c>
      <x:c r="C10" s="57" t="n">
        <x:v>7</x:v>
      </x:c>
      <x:c r="D10" s="57" t="n">
        <x:v>7</x:v>
      </x:c>
      <x:c r="E10" s="57" t="str">
        <x:v>2017, 2018, 2019, 2020, 2023, 2024, 2025</x:v>
      </x:c>
      <x:c r="F10" s="57" t="str">
        <x:v>17.4, 18.1, 19.1, 20.5, 23.1, 24.2, 25.3</x:v>
      </x:c>
      <x:c r="G10" s="57" t="n">
        <x:v>2025</x:v>
      </x:c>
      <x:c r="H10" s="57" t="str">
        <x:v>거리/칼로리는 처방 단위로 구분</x:v>
      </x:c>
      <x:c r="I10" s="57" t="str"/>
      <x:c r="J10" s="57" t="str">
        <x:v>https://www.crossfit.com/essentials/movements</x:v>
      </x:c>
    </x:row>
    <x:row r="11" ht="42" customHeight="1">
      <x:c r="A11" s="57" t="str">
        <x:v>Dumbbell Snatch</x:v>
      </x:c>
      <x:c r="B11" s="57" t="str">
        <x:v>EX085</x:v>
      </x:c>
      <x:c r="C11" s="57" t="n">
        <x:v>6</x:v>
      </x:c>
      <x:c r="D11" s="57" t="n">
        <x:v>6</x:v>
      </x:c>
      <x:c r="E11" s="57" t="str">
        <x:v>2017, 2018, 2021, 2022, 2024, 2026</x:v>
      </x:c>
      <x:c r="F11" s="57" t="str">
        <x:v>17.1, 18.3, 21.2, 22.1, 24.1, 26.2</x:v>
      </x:c>
      <x:c r="G11" s="57" t="n">
        <x:v>2026</x:v>
      </x:c>
      <x:c r="H11" s="57" t="str">
        <x:v>Alternating 표기는 동일 ExerciseID</x:v>
      </x:c>
      <x:c r="I11" s="57" t="str"/>
      <x:c r="J11" s="57" t="str">
        <x:v>https://www.crossfit.com/essentials/movements</x:v>
      </x:c>
    </x:row>
    <x:row r="12" ht="42" customHeight="1">
      <x:c r="A12" s="57" t="str">
        <x:v>Toes-to-bar</x:v>
      </x:c>
      <x:c r="B12" s="57" t="str">
        <x:v>EX061</x:v>
      </x:c>
      <x:c r="C12" s="57" t="n">
        <x:v>6</x:v>
      </x:c>
      <x:c r="D12" s="57" t="n">
        <x:v>6</x:v>
      </x:c>
      <x:c r="E12" s="57" t="str">
        <x:v>2017, 2018, 2019, 2020, 2021, 2023</x:v>
      </x:c>
      <x:c r="F12" s="57" t="str">
        <x:v>17.2, 18.1, 19.2, 20.2, 21.3, 23.1</x:v>
      </x:c>
      <x:c r="G12" s="57" t="n">
        <x:v>2023</x:v>
      </x:c>
      <x:c r="H12" s="57" t="str"/>
      <x:c r="I12" s="57" t="str"/>
      <x:c r="J12" s="57" t="str">
        <x:v>https://www.crossfit.com/essentials/movements</x:v>
      </x:c>
    </x:row>
    <x:row r="13" ht="42" customHeight="1">
      <x:c r="A13" s="57" t="str">
        <x:v>Clean</x:v>
      </x:c>
      <x:c r="B13" s="57" t="str">
        <x:v>EX038</x:v>
      </x:c>
      <x:c r="C13" s="57" t="n">
        <x:v>5</x:v>
      </x:c>
      <x:c r="D13" s="57" t="n">
        <x:v>5</x:v>
      </x:c>
      <x:c r="E13" s="57" t="str">
        <x:v>2018, 2021, 2023, 2025, 2026</x:v>
      </x:c>
      <x:c r="F13" s="57" t="str">
        <x:v>18.2 + 18.2a, 21.4, 23.1, 25.3, 26.3</x:v>
      </x:c>
      <x:c r="G13" s="57" t="n">
        <x:v>2026</x:v>
      </x:c>
      <x:c r="H13" s="57" t="str">
        <x:v>squat clean 포함; power clean은 별도 ID</x:v>
      </x:c>
      <x:c r="I13" s="57" t="str">
        <x:v>https://www.youtube.com/watch?v=9ujMWHBX5CU</x:v>
      </x:c>
      <x:c r="J13" s="57" t="str">
        <x:v>https://www.crossfit.com/essentials/movements</x:v>
      </x:c>
    </x:row>
    <x:row r="14" ht="42" customHeight="1">
      <x:c r="A14" s="57" t="str">
        <x:v>Wall-ball Shot</x:v>
      </x:c>
      <x:c r="B14" s="57" t="str">
        <x:v>EX082</x:v>
      </x:c>
      <x:c r="C14" s="57" t="n">
        <x:v>5</x:v>
      </x:c>
      <x:c r="D14" s="57" t="n">
        <x:v>5</x:v>
      </x:c>
      <x:c r="E14" s="57" t="str">
        <x:v>2017, 2019, 2020, 2023, 2026</x:v>
      </x:c>
      <x:c r="F14" s="57" t="str">
        <x:v>17.4, 19.1, 20.5, 23.1, 26.1</x:v>
      </x:c>
      <x:c r="G14" s="57" t="n">
        <x:v>2026</x:v>
      </x:c>
      <x:c r="H14" s="57" t="str"/>
      <x:c r="I14" s="57" t="str"/>
      <x:c r="J14" s="57" t="str">
        <x:v>https://www.crossfit.com/essentials/movements</x:v>
      </x:c>
    </x:row>
    <x:row r="15" ht="42" customHeight="1">
      <x:c r="A15" s="57" t="str">
        <x:v>Bar-facing Burpee</x:v>
      </x:c>
      <x:c r="B15" s="57" t="str">
        <x:v>EX097</x:v>
      </x:c>
      <x:c r="C15" s="57" t="n">
        <x:v>4</x:v>
      </x:c>
      <x:c r="D15" s="57" t="n">
        <x:v>4</x:v>
      </x:c>
      <x:c r="E15" s="57" t="str">
        <x:v>2018, 2019, 2020, 2022</x:v>
      </x:c>
      <x:c r="F15" s="57" t="str">
        <x:v>18.2 + 18.2a, 19.4, 20.1, 22.2</x:v>
      </x:c>
      <x:c r="G15" s="57" t="n">
        <x:v>2022</x:v>
      </x:c>
      <x:c r="H15" s="57" t="str"/>
      <x:c r="I15" s="57" t="str"/>
      <x:c r="J15" s="57" t="str">
        <x:v>https://www.crossfit.com/essentials/movements</x:v>
      </x:c>
    </x:row>
    <x:row r="16" ht="42" customHeight="1">
      <x:c r="A16" s="57" t="str">
        <x:v>Wall Walk</x:v>
      </x:c>
      <x:c r="B16" s="57" t="str">
        <x:v>EX057</x:v>
      </x:c>
      <x:c r="C16" s="57" t="n">
        <x:v>4</x:v>
      </x:c>
      <x:c r="D16" s="57" t="n">
        <x:v>4</x:v>
      </x:c>
      <x:c r="E16" s="57" t="str">
        <x:v>2021, 2022, 2023, 2025</x:v>
      </x:c>
      <x:c r="F16" s="57" t="str">
        <x:v>21.1, 22.1, 23.3, 25.3</x:v>
      </x:c>
      <x:c r="G16" s="57" t="n">
        <x:v>2025</x:v>
      </x:c>
      <x:c r="H16" s="57" t="str"/>
      <x:c r="I16" s="57" t="str"/>
      <x:c r="J16" s="57" t="str">
        <x:v>https://www.crossfit.com/essentials/movements</x:v>
      </x:c>
    </x:row>
    <x:row r="17" ht="42" customHeight="1">
      <x:c r="A17" s="57" t="str">
        <x:v>Handstand Push-up</x:v>
      </x:c>
      <x:c r="B17" s="57" t="str">
        <x:v>EX058</x:v>
      </x:c>
      <x:c r="C17" s="57" t="n">
        <x:v>3</x:v>
      </x:c>
      <x:c r="D17" s="57" t="n">
        <x:v>3</x:v>
      </x:c>
      <x:c r="E17" s="57" t="str">
        <x:v>2017, 2018, 2020</x:v>
      </x:c>
      <x:c r="F17" s="57" t="str">
        <x:v>17.4, 18.4, 20.3</x:v>
      </x:c>
      <x:c r="G17" s="57" t="n">
        <x:v>2020</x:v>
      </x:c>
      <x:c r="H17" s="57" t="str"/>
      <x:c r="I17" s="57" t="str"/>
      <x:c r="J17" s="57" t="str">
        <x:v>https://www.crossfit.com/essentials/movements</x:v>
      </x:c>
    </x:row>
    <x:row r="18" ht="42" customHeight="1">
      <x:c r="A18" s="57" t="str">
        <x:v>Handstand Walk</x:v>
      </x:c>
      <x:c r="B18" s="57" t="str">
        <x:v>EX059</x:v>
      </x:c>
      <x:c r="C18" s="57" t="n">
        <x:v>3</x:v>
      </x:c>
      <x:c r="D18" s="57" t="n">
        <x:v>3</x:v>
      </x:c>
      <x:c r="E18" s="57" t="str">
        <x:v>2018, 2019, 2020</x:v>
      </x:c>
      <x:c r="F18" s="57" t="str">
        <x:v>18.4, 19.3, 20.3</x:v>
      </x:c>
      <x:c r="G18" s="57" t="n">
        <x:v>2020</x:v>
      </x:c>
      <x:c r="H18" s="57" t="str"/>
      <x:c r="I18" s="57" t="str"/>
      <x:c r="J18" s="57" t="str">
        <x:v>https://www.crossfit.com/essentials/movements</x:v>
      </x:c>
    </x:row>
    <x:row r="19" ht="42" customHeight="1">
      <x:c r="A19" s="57" t="str">
        <x:v>Pull-up</x:v>
      </x:c>
      <x:c r="B19" s="57" t="str">
        <x:v>EX027</x:v>
      </x:c>
      <x:c r="C19" s="57" t="n">
        <x:v>3</x:v>
      </x:c>
      <x:c r="D19" s="57" t="n">
        <x:v>3</x:v>
      </x:c>
      <x:c r="E19" s="57" t="str">
        <x:v>2022, 2025, 2026</x:v>
      </x:c>
      <x:c r="F19" s="57" t="str">
        <x:v>22.3, 25.2, 26.2</x:v>
      </x:c>
      <x:c r="G19" s="57" t="n">
        <x:v>2026</x:v>
      </x:c>
      <x:c r="H19" s="57" t="str">
        <x:v>Open Rx 키핑 허용; strict는 별도 ID</x:v>
      </x:c>
      <x:c r="I19" s="57" t="str">
        <x:v>https://www.youtube.com/watch?v=aAggnpPyR6E</x:v>
      </x:c>
      <x:c r="J19" s="57" t="str">
        <x:v>https://www.crossfit.com/essentials/movements</x:v>
      </x:c>
    </x:row>
    <x:row r="20" ht="42" customHeight="1">
      <x:c r="A20" s="57" t="str">
        <x:v>Ring Muscle-up</x:v>
      </x:c>
      <x:c r="B20" s="57" t="str">
        <x:v>EX067</x:v>
      </x:c>
      <x:c r="C20" s="57" t="n">
        <x:v>3</x:v>
      </x:c>
      <x:c r="D20" s="57" t="n">
        <x:v>3</x:v>
      </x:c>
      <x:c r="E20" s="57" t="str">
        <x:v>2018, 2020, 2023</x:v>
      </x:c>
      <x:c r="F20" s="57" t="str">
        <x:v>18.3, 20.5, 23.1</x:v>
      </x:c>
      <x:c r="G20" s="57" t="n">
        <x:v>2023</x:v>
      </x:c>
      <x:c r="H20" s="57" t="str">
        <x:v>Open의 muscle-up은 링 표준으로 정규화</x:v>
      </x:c>
      <x:c r="I20" s="57" t="str">
        <x:v>https://www.youtube.com/watch?v=vJTJFc2wmk4</x:v>
      </x:c>
      <x:c r="J20" s="57" t="str">
        <x:v>https://www.crossfit.com/essentials/movements</x:v>
      </x:c>
    </x:row>
    <x:row r="21" ht="42" customHeight="1">
      <x:c r="A21" s="57" t="str">
        <x:v>Snatch</x:v>
      </x:c>
      <x:c r="B21" s="57" t="str">
        <x:v>EX030</x:v>
      </x:c>
      <x:c r="C21" s="57" t="n">
        <x:v>3</x:v>
      </x:c>
      <x:c r="D21" s="57" t="n">
        <x:v>3</x:v>
      </x:c>
      <x:c r="E21" s="57" t="str">
        <x:v>2019, 2023, 2025</x:v>
      </x:c>
      <x:c r="F21" s="57" t="str">
        <x:v>19.4, 23.3, 25.3</x:v>
      </x:c>
      <x:c r="G21" s="57" t="n">
        <x:v>2025</x:v>
      </x:c>
      <x:c r="H21" s="57" t="str">
        <x:v>power 허용 여부는 워크아웃 표준 확인</x:v>
      </x:c>
      <x:c r="I21" s="57" t="str"/>
      <x:c r="J21" s="57" t="str">
        <x:v>https://www.crossfit.com/essentials/movements</x:v>
      </x:c>
    </x:row>
    <x:row r="22" ht="42" customHeight="1">
      <x:c r="A22" s="57" t="str">
        <x:v>Box Jump-over</x:v>
      </x:c>
      <x:c r="B22" s="57" t="str">
        <x:v>EX053</x:v>
      </x:c>
      <x:c r="C22" s="57" t="n">
        <x:v>2</x:v>
      </x:c>
      <x:c r="D22" s="57" t="n">
        <x:v>2</x:v>
      </x:c>
      <x:c r="E22" s="57" t="str">
        <x:v>2022, 2026</x:v>
      </x:c>
      <x:c r="F22" s="57" t="str">
        <x:v>22.1, 26.1</x:v>
      </x:c>
      <x:c r="G22" s="57" t="n">
        <x:v>2026</x:v>
      </x:c>
      <x:c r="H22" s="57" t="str"/>
      <x:c r="I22" s="57" t="str"/>
      <x:c r="J22" s="57" t="str">
        <x:v>https://www.crossfit.com/essentials/movements</x:v>
      </x:c>
    </x:row>
    <x:row r="23" ht="42" customHeight="1">
      <x:c r="A23" s="57" t="str">
        <x:v>Burpee Box Jump-over</x:v>
      </x:c>
      <x:c r="B23" s="57" t="str">
        <x:v>EX099</x:v>
      </x:c>
      <x:c r="C23" s="57" t="n">
        <x:v>2</x:v>
      </x:c>
      <x:c r="D23" s="57" t="n">
        <x:v>2</x:v>
      </x:c>
      <x:c r="E23" s="57" t="str">
        <x:v>2017, 2021</x:v>
      </x:c>
      <x:c r="F23" s="57" t="str">
        <x:v>17.1, 21.2</x:v>
      </x:c>
      <x:c r="G23" s="57" t="n">
        <x:v>2021</x:v>
      </x:c>
      <x:c r="H23" s="57" t="str"/>
      <x:c r="I23" s="57" t="str">
        <x:v>https://www.youtube.com/watch?v=GLktGkmcvWE</x:v>
      </x:c>
      <x:c r="J23" s="57" t="str">
        <x:v>https://www.crossfit.com/essentials/movements</x:v>
      </x:c>
    </x:row>
    <x:row r="24" ht="42" customHeight="1">
      <x:c r="A24" s="57" t="str">
        <x:v>Dumbbell Overhead Walking Lunge</x:v>
      </x:c>
      <x:c r="B24" s="57" t="str">
        <x:v>EX102</x:v>
      </x:c>
      <x:c r="C24" s="57" t="n">
        <x:v>2</x:v>
      </x:c>
      <x:c r="D24" s="57" t="n">
        <x:v>2</x:v>
      </x:c>
      <x:c r="E24" s="57" t="str">
        <x:v>2019, 2026</x:v>
      </x:c>
      <x:c r="F24" s="57" t="str">
        <x:v>19.3, 26.2</x:v>
      </x:c>
      <x:c r="G24" s="57" t="n">
        <x:v>2026</x:v>
      </x:c>
      <x:c r="H24" s="57" t="str"/>
      <x:c r="I24" s="57" t="str"/>
      <x:c r="J24" s="57" t="str">
        <x:v>https://www.crossfit.com/essentials/movements</x:v>
      </x:c>
    </x:row>
    <x:row r="25" ht="42" customHeight="1">
      <x:c r="A25" s="57" t="str">
        <x:v>Lateral Burpee over Dumbbell</x:v>
      </x:c>
      <x:c r="B25" s="57" t="str">
        <x:v>EX098</x:v>
      </x:c>
      <x:c r="C25" s="57" t="n">
        <x:v>2</x:v>
      </x:c>
      <x:c r="D25" s="57" t="n">
        <x:v>2</x:v>
      </x:c>
      <x:c r="E25" s="57" t="str">
        <x:v>2024, 2025</x:v>
      </x:c>
      <x:c r="F25" s="57" t="str">
        <x:v>24.1, 25.1</x:v>
      </x:c>
      <x:c r="G25" s="57" t="n">
        <x:v>2025</x:v>
      </x:c>
      <x:c r="H25" s="57" t="str"/>
      <x:c r="I25" s="57" t="str"/>
      <x:c r="J25" s="57" t="str">
        <x:v>https://www.crossfit.com/essentials/movements</x:v>
      </x:c>
    </x:row>
    <x:row r="26" ht="42" customHeight="1">
      <x:c r="A26" s="57" t="str">
        <x:v>Strict Handstand Push-up</x:v>
      </x:c>
      <x:c r="B26" s="57" t="str">
        <x:v>EX112</x:v>
      </x:c>
      <x:c r="C26" s="57" t="n">
        <x:v>2</x:v>
      </x:c>
      <x:c r="D26" s="57" t="n">
        <x:v>2</x:v>
      </x:c>
      <x:c r="E26" s="57" t="str">
        <x:v>2019, 2023</x:v>
      </x:c>
      <x:c r="F26" s="57" t="str">
        <x:v>19.3, 23.3</x:v>
      </x:c>
      <x:c r="G26" s="57" t="n">
        <x:v>2023</x:v>
      </x:c>
      <x:c r="H26" s="57" t="str">
        <x:v>키핑 HSPU와 피로·난이도 분리</x:v>
      </x:c>
      <x:c r="I26" s="57" t="str"/>
      <x:c r="J26" s="57" t="str">
        <x:v>https://www.crossfit.com/essentials/movements</x:v>
      </x:c>
    </x:row>
    <x:row r="27" ht="42" customHeight="1">
      <x:c r="A27" s="57" t="str">
        <x:v>Box Jump</x:v>
      </x:c>
      <x:c r="B27" s="57" t="str">
        <x:v>EX052</x:v>
      </x:c>
      <x:c r="C27" s="57" t="n">
        <x:v>1</x:v>
      </x:c>
      <x:c r="D27" s="57" t="n">
        <x:v>1</x:v>
      </x:c>
      <x:c r="E27" s="57" t="str">
        <x:v>2020</x:v>
      </x:c>
      <x:c r="F27" s="57" t="str">
        <x:v>20.4</x:v>
      </x:c>
      <x:c r="G27" s="57" t="n">
        <x:v>2020</x:v>
      </x:c>
      <x:c r="H27" s="57" t="str"/>
      <x:c r="I27" s="57" t="str"/>
      <x:c r="J27" s="57" t="str">
        <x:v>https://www.crossfit.com/essentials/movements</x:v>
      </x:c>
    </x:row>
    <x:row r="28" ht="42" customHeight="1">
      <x:c r="A28" s="57" t="str">
        <x:v>Burpee over Bar</x:v>
      </x:c>
      <x:c r="B28" s="57" t="str">
        <x:v>EX113</x:v>
      </x:c>
      <x:c r="C28" s="57" t="n">
        <x:v>1</x:v>
      </x:c>
      <x:c r="D28" s="57" t="n">
        <x:v>1</x:v>
      </x:c>
      <x:c r="E28" s="57" t="str">
        <x:v>2026</x:v>
      </x:c>
      <x:c r="F28" s="57" t="str">
        <x:v>26.3</x:v>
      </x:c>
      <x:c r="G28" s="57" t="n">
        <x:v>2026</x:v>
      </x:c>
      <x:c r="H28" s="57" t="str">
        <x:v>26.3 표기; bar-facing과 분리</x:v>
      </x:c>
      <x:c r="I28" s="57" t="str"/>
      <x:c r="J28" s="57" t="str">
        <x:v>https://www.crossfit.com/essentials/movements</x:v>
      </x:c>
    </x:row>
    <x:row r="29" ht="42" customHeight="1">
      <x:c r="A29" s="57" t="str">
        <x:v>Burpee Pull-up</x:v>
      </x:c>
      <x:c r="B29" s="57" t="str">
        <x:v>EX100</x:v>
      </x:c>
      <x:c r="C29" s="57" t="n">
        <x:v>1</x:v>
      </x:c>
      <x:c r="D29" s="57" t="n">
        <x:v>1</x:v>
      </x:c>
      <x:c r="E29" s="57" t="str">
        <x:v>2023</x:v>
      </x:c>
      <x:c r="F29" s="57" t="str">
        <x:v>23.2A + 23.2B</x:v>
      </x:c>
      <x:c r="G29" s="57" t="n">
        <x:v>2023</x:v>
      </x:c>
      <x:c r="H29" s="57" t="str"/>
      <x:c r="I29" s="57" t="str"/>
      <x:c r="J29" s="57" t="str">
        <x:v>https://www.crossfit.com/essentials/movements</x:v>
      </x:c>
    </x:row>
    <x:row r="30" ht="42" customHeight="1">
      <x:c r="A30" s="57" t="str">
        <x:v>Clean and Jerk</x:v>
      </x:c>
      <x:c r="B30" s="57" t="str">
        <x:v>EX111</x:v>
      </x:c>
      <x:c r="C30" s="57" t="n">
        <x:v>1</x:v>
      </x:c>
      <x:c r="D30" s="57" t="n">
        <x:v>1</x:v>
      </x:c>
      <x:c r="E30" s="57" t="str">
        <x:v>2020</x:v>
      </x:c>
      <x:c r="F30" s="57" t="str">
        <x:v>20.4</x:v>
      </x:c>
      <x:c r="G30" s="57" t="n">
        <x:v>2020</x:v>
      </x:c>
      <x:c r="H30" s="57" t="str"/>
      <x:c r="I30" s="57" t="str"/>
      <x:c r="J30" s="57" t="str">
        <x:v>https://www.crossfit.com/essentials/movements</x:v>
      </x:c>
    </x:row>
    <x:row r="31" ht="42" customHeight="1">
      <x:c r="A31" s="57" t="str">
        <x:v>Dumbbell Box Step-up</x:v>
      </x:c>
      <x:c r="B31" s="57" t="str">
        <x:v>EX104</x:v>
      </x:c>
      <x:c r="C31" s="57" t="n">
        <x:v>1</x:v>
      </x:c>
      <x:c r="D31" s="57" t="n">
        <x:v>1</x:v>
      </x:c>
      <x:c r="E31" s="57" t="str">
        <x:v>2019</x:v>
      </x:c>
      <x:c r="F31" s="57" t="str">
        <x:v>19.3</x:v>
      </x:c>
      <x:c r="G31" s="57" t="n">
        <x:v>2019</x:v>
      </x:c>
      <x:c r="H31" s="57" t="str"/>
      <x:c r="I31" s="57" t="str"/>
      <x:c r="J31" s="57" t="str">
        <x:v>https://www.crossfit.com/essentials/movements</x:v>
      </x:c>
    </x:row>
    <x:row r="32" ht="42" customHeight="1">
      <x:c r="A32" s="57" t="str">
        <x:v>Dumbbell Front-rack Walking Lunge</x:v>
      </x:c>
      <x:c r="B32" s="57" t="str">
        <x:v>EX103</x:v>
      </x:c>
      <x:c r="C32" s="57" t="n">
        <x:v>1</x:v>
      </x:c>
      <x:c r="D32" s="57" t="n">
        <x:v>1</x:v>
      </x:c>
      <x:c r="E32" s="57" t="str">
        <x:v>2017</x:v>
      </x:c>
      <x:c r="F32" s="57" t="str">
        <x:v>17.2</x:v>
      </x:c>
      <x:c r="G32" s="57" t="n">
        <x:v>2017</x:v>
      </x:c>
      <x:c r="H32" s="57" t="str">
        <x:v>17.2 weighted walking lunge 정규화</x:v>
      </x:c>
      <x:c r="I32" s="57" t="str"/>
      <x:c r="J32" s="57" t="str">
        <x:v>https://www.crossfit.com/essentials/movements</x:v>
      </x:c>
    </x:row>
    <x:row r="33" ht="42" customHeight="1">
      <x:c r="A33" s="57" t="str">
        <x:v>Dumbbell Hang Clean and Jerk</x:v>
      </x:c>
      <x:c r="B33" s="57" t="str">
        <x:v>EX106</x:v>
      </x:c>
      <x:c r="C33" s="57" t="n">
        <x:v>1</x:v>
      </x:c>
      <x:c r="D33" s="57" t="n">
        <x:v>1</x:v>
      </x:c>
      <x:c r="E33" s="57" t="str">
        <x:v>2018</x:v>
      </x:c>
      <x:c r="F33" s="57" t="str">
        <x:v>18.1</x:v>
      </x:c>
      <x:c r="G33" s="57" t="n">
        <x:v>2018</x:v>
      </x:c>
      <x:c r="H33" s="57" t="str"/>
      <x:c r="I33" s="57" t="str"/>
      <x:c r="J33" s="57" t="str">
        <x:v>https://www.crossfit.com/essentials/movements</x:v>
      </x:c>
    </x:row>
    <x:row r="34" ht="42" customHeight="1">
      <x:c r="A34" s="57" t="str">
        <x:v>Dumbbell Hang Clean-to-Overhead</x:v>
      </x:c>
      <x:c r="B34" s="57" t="str">
        <x:v>EX107</x:v>
      </x:c>
      <x:c r="C34" s="57" t="n">
        <x:v>1</x:v>
      </x:c>
      <x:c r="D34" s="57" t="n">
        <x:v>1</x:v>
      </x:c>
      <x:c r="E34" s="57" t="str">
        <x:v>2025</x:v>
      </x:c>
      <x:c r="F34" s="57" t="str">
        <x:v>25.1</x:v>
      </x:c>
      <x:c r="G34" s="57" t="n">
        <x:v>2025</x:v>
      </x:c>
      <x:c r="H34" s="57" t="str"/>
      <x:c r="I34" s="57" t="str"/>
      <x:c r="J34" s="57" t="str">
        <x:v>https://www.crossfit.com/essentials/movements</x:v>
      </x:c>
    </x:row>
    <x:row r="35" ht="42" customHeight="1">
      <x:c r="A35" s="57" t="str">
        <x:v>Dumbbell Squat</x:v>
      </x:c>
      <x:c r="B35" s="57" t="str">
        <x:v>EX109</x:v>
      </x:c>
      <x:c r="C35" s="57" t="n">
        <x:v>1</x:v>
      </x:c>
      <x:c r="D35" s="57" t="n">
        <x:v>1</x:v>
      </x:c>
      <x:c r="E35" s="57" t="str">
        <x:v>2018</x:v>
      </x:c>
      <x:c r="F35" s="57" t="str">
        <x:v>18.2 + 18.2a</x:v>
      </x:c>
      <x:c r="G35" s="57" t="n">
        <x:v>2018</x:v>
      </x:c>
      <x:c r="H35" s="57" t="str"/>
      <x:c r="I35" s="57" t="str"/>
      <x:c r="J35" s="57" t="str">
        <x:v>https://www.crossfit.com/essentials/movements</x:v>
      </x:c>
    </x:row>
    <x:row r="36" ht="42" customHeight="1">
      <x:c r="A36" s="57" t="str">
        <x:v>Dumbbell Thruster</x:v>
      </x:c>
      <x:c r="B36" s="57" t="str">
        <x:v>EX108</x:v>
      </x:c>
      <x:c r="C36" s="57" t="n">
        <x:v>1</x:v>
      </x:c>
      <x:c r="D36" s="57" t="n">
        <x:v>1</x:v>
      </x:c>
      <x:c r="E36" s="57" t="str">
        <x:v>2020</x:v>
      </x:c>
      <x:c r="F36" s="57" t="str">
        <x:v>20.2</x:v>
      </x:c>
      <x:c r="G36" s="57" t="n">
        <x:v>2020</x:v>
      </x:c>
      <x:c r="H36" s="57" t="str"/>
      <x:c r="I36" s="57" t="str">
        <x:v>https://www.youtube.com/watch?v=u3wKkZjE8QM</x:v>
      </x:c>
      <x:c r="J36" s="57" t="str">
        <x:v>https://www.crossfit.com/essentials/movements</x:v>
      </x:c>
    </x:row>
    <x:row r="37" ht="42" customHeight="1">
      <x:c r="A37" s="57" t="str">
        <x:v>Front Squat</x:v>
      </x:c>
      <x:c r="B37" s="57" t="str">
        <x:v>EX003</x:v>
      </x:c>
      <x:c r="C37" s="57" t="n">
        <x:v>1</x:v>
      </x:c>
      <x:c r="D37" s="57" t="n">
        <x:v>1</x:v>
      </x:c>
      <x:c r="E37" s="57" t="str">
        <x:v>2021</x:v>
      </x:c>
      <x:c r="F37" s="57" t="str">
        <x:v>21.3</x:v>
      </x:c>
      <x:c r="G37" s="57" t="n">
        <x:v>2021</x:v>
      </x:c>
      <x:c r="H37" s="57" t="str"/>
      <x:c r="I37" s="57" t="str">
        <x:v>https://www.youtube.com/watch?v=m4ytaCJZpl0</x:v>
      </x:c>
      <x:c r="J37" s="57" t="str">
        <x:v>https://www.crossfit.com/essentials/movements</x:v>
      </x:c>
    </x:row>
    <x:row r="38" ht="42" customHeight="1">
      <x:c r="A38" s="57" t="str">
        <x:v>Ground-to-Overhead</x:v>
      </x:c>
      <x:c r="B38" s="57" t="str">
        <x:v>EX110</x:v>
      </x:c>
      <x:c r="C38" s="57" t="n">
        <x:v>1</x:v>
      </x:c>
      <x:c r="D38" s="57" t="n">
        <x:v>1</x:v>
      </x:c>
      <x:c r="E38" s="57" t="str">
        <x:v>2020</x:v>
      </x:c>
      <x:c r="F38" s="57" t="str">
        <x:v>20.1</x:v>
      </x:c>
      <x:c r="G38" s="57" t="n">
        <x:v>2020</x:v>
      </x:c>
      <x:c r="H38" s="57" t="str">
        <x:v>snatch 또는 clean-and-jerk 전략</x:v>
      </x:c>
      <x:c r="I38" s="57" t="str"/>
      <x:c r="J38" s="57" t="str">
        <x:v>https://www.crossfit.com/essentials/movements</x:v>
      </x:c>
    </x:row>
    <x:row r="39" ht="42" customHeight="1">
      <x:c r="A39" s="57" t="str">
        <x:v>Hang Clean</x:v>
      </x:c>
      <x:c r="B39" s="57" t="str">
        <x:v>EX114</x:v>
      </x:c>
      <x:c r="C39" s="57" t="n">
        <x:v>1</x:v>
      </x:c>
      <x:c r="D39" s="57" t="n">
        <x:v>1</x:v>
      </x:c>
      <x:c r="E39" s="57" t="str">
        <x:v>2021</x:v>
      </x:c>
      <x:c r="F39" s="57" t="str">
        <x:v>21.4</x:v>
      </x:c>
      <x:c r="G39" s="57" t="n">
        <x:v>2021</x:v>
      </x:c>
      <x:c r="H39" s="57" t="str"/>
      <x:c r="I39" s="57" t="str"/>
      <x:c r="J39" s="57" t="str">
        <x:v>https://www.crossfit.com/essentials/movements</x:v>
      </x:c>
    </x:row>
    <x:row r="40" ht="42" customHeight="1">
      <x:c r="A40" s="57" t="str">
        <x:v>Jerk</x:v>
      </x:c>
      <x:c r="B40" s="57" t="str">
        <x:v>EX045</x:v>
      </x:c>
      <x:c r="C40" s="57" t="n">
        <x:v>1</x:v>
      </x:c>
      <x:c r="D40" s="57" t="n">
        <x:v>1</x:v>
      </x:c>
      <x:c r="E40" s="57" t="str">
        <x:v>2021</x:v>
      </x:c>
      <x:c r="F40" s="57" t="str">
        <x:v>21.4</x:v>
      </x:c>
      <x:c r="G40" s="57" t="n">
        <x:v>2021</x:v>
      </x:c>
      <x:c r="H40" s="57" t="str">
        <x:v>jerk family 대표 ID</x:v>
      </x:c>
      <x:c r="I40" s="57" t="str"/>
      <x:c r="J40" s="57" t="str">
        <x:v>https://www.crossfit.com/essentials/movements</x:v>
      </x:c>
    </x:row>
    <x:row r="41" ht="42" customHeight="1">
      <x:c r="A41" s="57" t="str">
        <x:v>Medicine-ball Box Step-over</x:v>
      </x:c>
      <x:c r="B41" s="57" t="str">
        <x:v>EX105</x:v>
      </x:c>
      <x:c r="C41" s="57" t="n">
        <x:v>1</x:v>
      </x:c>
      <x:c r="D41" s="57" t="n">
        <x:v>1</x:v>
      </x:c>
      <x:c r="E41" s="57" t="str">
        <x:v>2026</x:v>
      </x:c>
      <x:c r="F41" s="57" t="str">
        <x:v>26.1</x:v>
      </x:c>
      <x:c r="G41" s="57" t="n">
        <x:v>2026</x:v>
      </x:c>
      <x:c r="H41" s="57" t="str"/>
      <x:c r="I41" s="57" t="str"/>
      <x:c r="J41" s="57" t="str">
        <x:v>https://www.crossfit.com/essentials/movements</x:v>
      </x:c>
    </x:row>
    <x:row r="42" ht="42" customHeight="1">
      <x:c r="A42" s="57" t="str">
        <x:v>Overhead Squat</x:v>
      </x:c>
      <x:c r="B42" s="57" t="str">
        <x:v>EX005</x:v>
      </x:c>
      <x:c r="C42" s="57" t="n">
        <x:v>1</x:v>
      </x:c>
      <x:c r="D42" s="57" t="n">
        <x:v>1</x:v>
      </x:c>
      <x:c r="E42" s="57" t="str">
        <x:v>2018</x:v>
      </x:c>
      <x:c r="F42" s="57" t="str">
        <x:v>18.3</x:v>
      </x:c>
      <x:c r="G42" s="57" t="n">
        <x:v>2018</x:v>
      </x:c>
      <x:c r="H42" s="57" t="str"/>
      <x:c r="I42" s="57" t="str">
        <x:v>https://www.youtube.com/watch?v=RD_vUnqwqqI</x:v>
      </x:c>
      <x:c r="J42" s="57" t="str">
        <x:v>https://www.crossfit.com/essentials/movements</x:v>
      </x:c>
    </x:row>
    <x:row r="43" ht="42" customHeight="1">
      <x:c r="A43" s="57" t="str">
        <x:v>Pistol Squat</x:v>
      </x:c>
      <x:c r="B43" s="57" t="str">
        <x:v>EX010</x:v>
      </x:c>
      <x:c r="C43" s="57" t="n">
        <x:v>1</x:v>
      </x:c>
      <x:c r="D43" s="57" t="n">
        <x:v>1</x:v>
      </x:c>
      <x:c r="E43" s="57" t="str">
        <x:v>2020</x:v>
      </x:c>
      <x:c r="F43" s="57" t="str">
        <x:v>20.4</x:v>
      </x:c>
      <x:c r="G43" s="57" t="n">
        <x:v>2020</x:v>
      </x:c>
      <x:c r="H43" s="57" t="str">
        <x:v>single-leg squat 별칭</x:v>
      </x:c>
      <x:c r="I43" s="57" t="str"/>
      <x:c r="J43" s="57" t="str">
        <x:v>https://www.crossfit.com/essentials/movements</x:v>
      </x:c>
    </x:row>
    <x:row r="44" ht="42" customHeight="1">
      <x:c r="A44" s="57" t="str">
        <x:v>Power Clean</x:v>
      </x:c>
      <x:c r="B44" s="57" t="str">
        <x:v>EX039</x:v>
      </x:c>
      <x:c r="C44" s="57" t="n">
        <x:v>1</x:v>
      </x:c>
      <x:c r="D44" s="57" t="n">
        <x:v>1</x:v>
      </x:c>
      <x:c r="E44" s="57" t="str">
        <x:v>2017</x:v>
      </x:c>
      <x:c r="F44" s="57" t="str">
        <x:v>17.2</x:v>
      </x:c>
      <x:c r="G44" s="57" t="n">
        <x:v>2017</x:v>
      </x:c>
      <x:c r="H44" s="57" t="str"/>
      <x:c r="I44" s="57" t="str"/>
      <x:c r="J44" s="57" t="str">
        <x:v>https://www.crossfit.com/essentials/movements</x:v>
      </x:c>
    </x:row>
    <x:row r="45" ht="42" customHeight="1">
      <x:c r="A45" s="57" t="str">
        <x:v>Shuttle Run</x:v>
      </x:c>
      <x:c r="B45" s="57" t="str">
        <x:v>EX101</x:v>
      </x:c>
      <x:c r="C45" s="57" t="n">
        <x:v>1</x:v>
      </x:c>
      <x:c r="D45" s="57" t="n">
        <x:v>1</x:v>
      </x:c>
      <x:c r="E45" s="57" t="str">
        <x:v>2023</x:v>
      </x:c>
      <x:c r="F45" s="57" t="str">
        <x:v>23.2A + 23.2B</x:v>
      </x:c>
      <x:c r="G45" s="57" t="n">
        <x:v>2023</x:v>
      </x:c>
      <x:c r="H45" s="57" t="str"/>
      <x:c r="I45" s="57" t="str"/>
      <x:c r="J45" s="57" t="str">
        <x:v>https://www.crossfit.com/essentials/movements</x:v>
      </x:c>
    </x:row>
    <x:row r="46" ht="42" customHeight="1">
      <x:c r="A46" s="57" t="str">
        <x:v>Squat Clean</x:v>
      </x:c>
      <x:c r="B46" s="57" t="str">
        <x:v>EX038</x:v>
      </x:c>
      <x:c r="C46" s="57" t="n">
        <x:v>1</x:v>
      </x:c>
      <x:c r="D46" s="57" t="n">
        <x:v>1</x:v>
      </x:c>
      <x:c r="E46" s="57" t="str">
        <x:v>2019</x:v>
      </x:c>
      <x:c r="F46" s="57" t="str">
        <x:v>19.2</x:v>
      </x:c>
      <x:c r="G46" s="57" t="n">
        <x:v>2019</x:v>
      </x:c>
      <x:c r="H46" s="57" t="str">
        <x:v>Open 표기를 full clean에 매핑</x:v>
      </x:c>
      <x:c r="I46" s="57" t="str">
        <x:v>https://www.youtube.com/watch?v=9ujMWHBX5CU</x:v>
      </x:c>
      <x:c r="J46" s="57" t="str">
        <x:v>https://www.crossfit.com/essentials/movements</x:v>
      </x:c>
    </x:row>
    <x:row r="47" ht="42" customHeight="1">
      <x:c r="A47" s="57" t="str">
        <x:v>Squat Snatch</x:v>
      </x:c>
      <x:c r="B47" s="57" t="str">
        <x:v>EX030</x:v>
      </x:c>
      <x:c r="C47" s="57" t="n">
        <x:v>1</x:v>
      </x:c>
      <x:c r="D47" s="57" t="n">
        <x:v>1</x:v>
      </x:c>
      <x:c r="E47" s="57" t="str">
        <x:v>2017</x:v>
      </x:c>
      <x:c r="F47" s="57" t="str">
        <x:v>17.3</x:v>
      </x:c>
      <x:c r="G47" s="57" t="n">
        <x:v>2017</x:v>
      </x:c>
      <x:c r="H47" s="57" t="str">
        <x:v>Open 표기를 full snatch에 매핑</x:v>
      </x:c>
      <x:c r="I47" s="57" t="str"/>
      <x:c r="J47" s="57" t="str">
        <x:v>https://www.crossfit.com/essentials/movements</x:v>
      </x:c>
    </x:row>
    <x:row r="48">
      <x:c r="A48" s="48" t="str">
        <x:v>Walking Lunge</x:v>
      </x:c>
      <x:c r="B48" s="48" t="str">
        <x:v>EX008</x:v>
      </x:c>
      <x:c r="C48" s="48" t="n">
        <x:v>1</x:v>
      </x:c>
      <x:c r="D48" s="48" t="n">
        <x:v>1</x:v>
      </x:c>
      <x:c r="E48" s="48" t="str">
        <x:v>2025</x:v>
      </x:c>
      <x:c r="F48" s="48" t="str">
        <x:v>25.1</x:v>
      </x:c>
      <x:c r="G48" s="48" t="n">
        <x:v>2025</x:v>
      </x:c>
      <x:c r="H48" s="48" t="str"/>
      <x:c r="I48" s="48" t="str"/>
      <x:c r="J48" s="48" t="str">
        <x:v>https://www.crossfit.com/essentials/movements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936562d3f4ef496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12" hidden="0" customWidth="1"/>
    <x:col min="4" max="4" width="48" hidden="0" customWidth="1"/>
    <x:col min="5" max="5" width="24" hidden="0" customWidth="1"/>
    <x:col min="6" max="6" width="58" hidden="0" customWidth="1"/>
    <x:col min="7" max="7" width="14" hidden="0" customWidth="1"/>
    <x:col min="8" max="8" width="10" hidden="0" customWidth="1"/>
  </x:cols>
  <x:sheetData>
    <x:row r="1" ht="30" customHeight="1">
      <x:c r="A1" s="54" t="str">
        <x:v>CrossFit 공식 YouTube 동작 영상</x:v>
      </x:c>
      <x:c r="B1" s="48"/>
      <x:c r="C1" s="48"/>
      <x:c r="D1" s="48"/>
      <x:c r="E1" s="48"/>
      <x:c r="F1" s="48"/>
      <x:c r="G1" s="48"/>
      <x:c r="H1" s="48"/>
    </x:row>
    <x:row r="2" ht="30" customHeight="1">
      <x:c r="A2" s="55" t="str">
        <x:v>검색으로 직접 확인한 공개 동작 데모 링크; 영상 상태는 검증일 이후 변경될 수 있음</x:v>
      </x:c>
      <x:c r="B2" s="48"/>
      <x:c r="C2" s="48"/>
      <x:c r="D2" s="48"/>
      <x:c r="E2" s="48"/>
      <x:c r="F2" s="48"/>
      <x:c r="G2" s="48"/>
      <x:c r="H2" s="48"/>
    </x:row>
    <x:row r="3">
      <x:c r="A3" s="48"/>
      <x:c r="B3" s="48"/>
      <x:c r="C3" s="48"/>
      <x:c r="D3" s="48"/>
      <x:c r="E3" s="48"/>
      <x:c r="F3" s="48"/>
      <x:c r="G3" s="48"/>
      <x:c r="H3" s="48"/>
    </x:row>
    <x:row r="4" ht="32" customHeight="1">
      <x:c r="A4" s="56" t="str">
        <x:v>VideoID</x:v>
      </x:c>
      <x:c r="B4" s="56" t="str">
        <x:v>Movement</x:v>
      </x:c>
      <x:c r="C4" s="56" t="str">
        <x:v>ExerciseID</x:v>
      </x:c>
      <x:c r="D4" s="56" t="str">
        <x:v>Official title</x:v>
      </x:c>
      <x:c r="E4" s="56" t="str">
        <x:v>용도</x:v>
      </x:c>
      <x:c r="F4" s="56" t="str">
        <x:v>YouTube URL</x:v>
      </x:c>
      <x:c r="G4" s="56" t="str">
        <x:v>검증일</x:v>
      </x:c>
      <x:c r="H4" s="56" t="str">
        <x:v>SourceID</x:v>
      </x:c>
    </x:row>
    <x:row r="5" ht="42" customHeight="1">
      <x:c r="A5" s="57" t="str">
        <x:v>YT001</x:v>
      </x:c>
      <x:c r="B5" s="57" t="str">
        <x:v>Air Squat</x:v>
      </x:c>
      <x:c r="C5" s="57" t="str">
        <x:v>EX001</x:v>
      </x:c>
      <x:c r="D5" s="57" t="str">
        <x:v>The Air Squat: CrossFit Foundational Movement</x:v>
      </x:c>
      <x:c r="E5" s="57" t="str">
        <x:v>기초 동작 데모</x:v>
      </x:c>
      <x:c r="F5" s="57" t="str">
        <x:v>https://www.youtube.com/watch?v=C_VtOYc6j5c</x:v>
      </x:c>
      <x:c r="G5" s="57" t="str">
        <x:v>2026-08-13</x:v>
      </x:c>
      <x:c r="H5" s="57" t="str">
        <x:v>S19</x:v>
      </x:c>
    </x:row>
    <x:row r="6" ht="42" customHeight="1">
      <x:c r="A6" s="57" t="str">
        <x:v>YT002</x:v>
      </x:c>
      <x:c r="B6" s="57" t="str">
        <x:v>Front Squat</x:v>
      </x:c>
      <x:c r="C6" s="57" t="str">
        <x:v>EX003</x:v>
      </x:c>
      <x:c r="D6" s="57" t="str">
        <x:v>The Front Squat: CrossFit Foundational Movement</x:v>
      </x:c>
      <x:c r="E6" s="57" t="str">
        <x:v>기초 동작 데모</x:v>
      </x:c>
      <x:c r="F6" s="57" t="str">
        <x:v>https://www.youtube.com/watch?v=m4ytaCJZpl0</x:v>
      </x:c>
      <x:c r="G6" s="57" t="str">
        <x:v>2026-08-13</x:v>
      </x:c>
      <x:c r="H6" s="57" t="str">
        <x:v>S19</x:v>
      </x:c>
    </x:row>
    <x:row r="7" ht="42" customHeight="1">
      <x:c r="A7" s="57" t="str">
        <x:v>YT003</x:v>
      </x:c>
      <x:c r="B7" s="57" t="str">
        <x:v>Overhead Squat</x:v>
      </x:c>
      <x:c r="C7" s="57" t="str">
        <x:v>EX005</x:v>
      </x:c>
      <x:c r="D7" s="57" t="str">
        <x:v>The Overhead Squat: CrossFit Foundational Movement</x:v>
      </x:c>
      <x:c r="E7" s="57" t="str">
        <x:v>기초 동작 데모</x:v>
      </x:c>
      <x:c r="F7" s="57" t="str">
        <x:v>https://www.youtube.com/watch?v=RD_vUnqwqqI</x:v>
      </x:c>
      <x:c r="G7" s="57" t="str">
        <x:v>2026-08-13</x:v>
      </x:c>
      <x:c r="H7" s="57" t="str">
        <x:v>S19</x:v>
      </x:c>
    </x:row>
    <x:row r="8" ht="42" customHeight="1">
      <x:c r="A8" s="57" t="str">
        <x:v>YT004</x:v>
      </x:c>
      <x:c r="B8" s="57" t="str">
        <x:v>Shoulder Press</x:v>
      </x:c>
      <x:c r="C8" s="57" t="str">
        <x:v>EX021</x:v>
      </x:c>
      <x:c r="D8" s="57" t="str">
        <x:v>The Shoulder Press: CrossFit Foundational Movement</x:v>
      </x:c>
      <x:c r="E8" s="57" t="str">
        <x:v>기초 동작 데모</x:v>
      </x:c>
      <x:c r="F8" s="57" t="str">
        <x:v>https://www.youtube.com/watch?v=xe19t2_6yis</x:v>
      </x:c>
      <x:c r="G8" s="57" t="str">
        <x:v>2026-08-13</x:v>
      </x:c>
      <x:c r="H8" s="57" t="str">
        <x:v>S19</x:v>
      </x:c>
    </x:row>
    <x:row r="9" ht="42" customHeight="1">
      <x:c r="A9" s="57" t="str">
        <x:v>YT005</x:v>
      </x:c>
      <x:c r="B9" s="57" t="str">
        <x:v>Push Press</x:v>
      </x:c>
      <x:c r="C9" s="57" t="str">
        <x:v>EX022</x:v>
      </x:c>
      <x:c r="D9" s="57" t="str">
        <x:v>The Push Press</x:v>
      </x:c>
      <x:c r="E9" s="57" t="str">
        <x:v>기초 동작 데모</x:v>
      </x:c>
      <x:c r="F9" s="57" t="str">
        <x:v>https://www.youtube.com/watch?v=iaBVSJm78ko</x:v>
      </x:c>
      <x:c r="G9" s="57" t="str">
        <x:v>2026-08-13</x:v>
      </x:c>
      <x:c r="H9" s="57" t="str">
        <x:v>S19</x:v>
      </x:c>
    </x:row>
    <x:row r="10" ht="42" customHeight="1">
      <x:c r="A10" s="57" t="str">
        <x:v>YT006</x:v>
      </x:c>
      <x:c r="B10" s="57" t="str">
        <x:v>Deadlift</x:v>
      </x:c>
      <x:c r="C10" s="57" t="str">
        <x:v>EX011</x:v>
      </x:c>
      <x:c r="D10" s="57" t="str">
        <x:v>The Deadlift: CrossFit Foundational Movement</x:v>
      </x:c>
      <x:c r="E10" s="57" t="str">
        <x:v>기초 동작 데모</x:v>
      </x:c>
      <x:c r="F10" s="57" t="str">
        <x:v>https://www.youtube.com/watch?v=op9kVnSso6Q</x:v>
      </x:c>
      <x:c r="G10" s="57" t="str">
        <x:v>2026-08-13</x:v>
      </x:c>
      <x:c r="H10" s="57" t="str">
        <x:v>S19</x:v>
      </x:c>
    </x:row>
    <x:row r="11" ht="42" customHeight="1">
      <x:c r="A11" s="57" t="str">
        <x:v>YT007</x:v>
      </x:c>
      <x:c r="B11" s="57" t="str">
        <x:v>Medicine-ball Clean</x:v>
      </x:c>
      <x:c r="C11" s="57" t="str">
        <x:v>EX083</x:v>
      </x:c>
      <x:c r="D11" s="57" t="str">
        <x:v>The Medicine-Ball Clean: CrossFit Foundational Movement</x:v>
      </x:c>
      <x:c r="E11" s="57" t="str">
        <x:v>기초 동작 데모</x:v>
      </x:c>
      <x:c r="F11" s="57" t="str">
        <x:v>https://www.youtube.com/watch?v=-nk0GqeSTJs</x:v>
      </x:c>
      <x:c r="G11" s="57" t="str">
        <x:v>2026-08-13</x:v>
      </x:c>
      <x:c r="H11" s="57" t="str">
        <x:v>S19</x:v>
      </x:c>
    </x:row>
    <x:row r="12" ht="42" customHeight="1">
      <x:c r="A12" s="57" t="str">
        <x:v>YT008</x:v>
      </x:c>
      <x:c r="B12" s="57" t="str">
        <x:v>Push Jerk</x:v>
      </x:c>
      <x:c r="C12" s="57" t="str">
        <x:v>EX046</x:v>
      </x:c>
      <x:c r="D12" s="57" t="str">
        <x:v>The Push Jerk: CrossFit Foundational Movement</x:v>
      </x:c>
      <x:c r="E12" s="57" t="str">
        <x:v>기초 동작 데모</x:v>
      </x:c>
      <x:c r="F12" s="57" t="str">
        <x:v>https://www.youtube.com/watch?v=V-hKuAfWNUw</x:v>
      </x:c>
      <x:c r="G12" s="57" t="str">
        <x:v>2026-08-13</x:v>
      </x:c>
      <x:c r="H12" s="57" t="str">
        <x:v>S19</x:v>
      </x:c>
    </x:row>
    <x:row r="13" ht="42" customHeight="1">
      <x:c r="A13" s="57" t="str">
        <x:v>YT009</x:v>
      </x:c>
      <x:c r="B13" s="57" t="str">
        <x:v>Clean</x:v>
      </x:c>
      <x:c r="C13" s="57" t="str">
        <x:v>EX038</x:v>
      </x:c>
      <x:c r="D13" s="57" t="str">
        <x:v>The Clean</x:v>
      </x:c>
      <x:c r="E13" s="57" t="str">
        <x:v>리프트 데모</x:v>
      </x:c>
      <x:c r="F13" s="57" t="str">
        <x:v>https://www.youtube.com/watch?v=9ujMWHBX5CU</x:v>
      </x:c>
      <x:c r="G13" s="57" t="str">
        <x:v>2026-08-13</x:v>
      </x:c>
      <x:c r="H13" s="57" t="str">
        <x:v>S19</x:v>
      </x:c>
    </x:row>
    <x:row r="14" ht="42" customHeight="1">
      <x:c r="A14" s="57" t="str">
        <x:v>YT010</x:v>
      </x:c>
      <x:c r="B14" s="57" t="str">
        <x:v>Pull-up</x:v>
      </x:c>
      <x:c r="C14" s="57" t="str">
        <x:v>EX027</x:v>
      </x:c>
      <x:c r="D14" s="57" t="str">
        <x:v>The Pull-Up</x:v>
      </x:c>
      <x:c r="E14" s="57" t="str">
        <x:v>체조 데모</x:v>
      </x:c>
      <x:c r="F14" s="57" t="str">
        <x:v>https://www.youtube.com/watch?v=aAggnpPyR6E</x:v>
      </x:c>
      <x:c r="G14" s="57" t="str">
        <x:v>2026-08-13</x:v>
      </x:c>
      <x:c r="H14" s="57" t="str">
        <x:v>S19</x:v>
      </x:c>
    </x:row>
    <x:row r="15" ht="42" customHeight="1">
      <x:c r="A15" s="57" t="str">
        <x:v>YT011</x:v>
      </x:c>
      <x:c r="B15" s="57" t="str">
        <x:v>Strict Muscle-up</x:v>
      </x:c>
      <x:c r="C15" s="57" t="str">
        <x:v>EX067</x:v>
      </x:c>
      <x:c r="D15" s="57" t="str">
        <x:v>The Strict Muscle-Up</x:v>
      </x:c>
      <x:c r="E15" s="57" t="str">
        <x:v>체조 데모</x:v>
      </x:c>
      <x:c r="F15" s="57" t="str">
        <x:v>https://www.youtube.com/watch?v=vJTJFc2wmk4</x:v>
      </x:c>
      <x:c r="G15" s="57" t="str">
        <x:v>2026-08-13</x:v>
      </x:c>
      <x:c r="H15" s="57" t="str">
        <x:v>S19</x:v>
      </x:c>
    </x:row>
    <x:row r="16" ht="42" customHeight="1">
      <x:c r="A16" s="57" t="str">
        <x:v>YT012</x:v>
      </x:c>
      <x:c r="B16" s="57" t="str">
        <x:v>Bar Muscle-up</x:v>
      </x:c>
      <x:c r="C16" s="57" t="str">
        <x:v>EX066</x:v>
      </x:c>
      <x:c r="D16" s="57" t="str">
        <x:v>The Bar Muscle-Up with Boz</x:v>
      </x:c>
      <x:c r="E16" s="57" t="str">
        <x:v>체조 데모/진행</x:v>
      </x:c>
      <x:c r="F16" s="57" t="str">
        <x:v>https://www.youtube.com/watch?v=iUAukdE0QQ4</x:v>
      </x:c>
      <x:c r="G16" s="57" t="str">
        <x:v>2026-08-13</x:v>
      </x:c>
      <x:c r="H16" s="57" t="str">
        <x:v>S19</x:v>
      </x:c>
    </x:row>
    <x:row r="17" ht="42" customHeight="1">
      <x:c r="A17" s="57" t="str">
        <x:v>YT013</x:v>
      </x:c>
      <x:c r="B17" s="57" t="str">
        <x:v>Thruster</x:v>
      </x:c>
      <x:c r="C17" s="57" t="str">
        <x:v>EX084</x:v>
      </x:c>
      <x:c r="D17" s="57" t="str">
        <x:v>The Thruster: CrossFit Foundational Movement</x:v>
      </x:c>
      <x:c r="E17" s="57" t="str">
        <x:v>혼합 동작 데모</x:v>
      </x:c>
      <x:c r="F17" s="57" t="str">
        <x:v>https://www.youtube.com/watch?v=aea5BGj9a8Y</x:v>
      </x:c>
      <x:c r="G17" s="57" t="str">
        <x:v>2026-08-13</x:v>
      </x:c>
      <x:c r="H17" s="57" t="str">
        <x:v>S19</x:v>
      </x:c>
    </x:row>
    <x:row r="18" ht="42" customHeight="1">
      <x:c r="A18" s="57" t="str">
        <x:v>YT014</x:v>
      </x:c>
      <x:c r="B18" s="57" t="str">
        <x:v>Dumbbell Thruster</x:v>
      </x:c>
      <x:c r="C18" s="57" t="str">
        <x:v>EX108</x:v>
      </x:c>
      <x:c r="D18" s="57" t="str">
        <x:v>The Dumbbell Thruster</x:v>
      </x:c>
      <x:c r="E18" s="57" t="str">
        <x:v>오픈 변형 데모</x:v>
      </x:c>
      <x:c r="F18" s="57" t="str">
        <x:v>https://www.youtube.com/watch?v=u3wKkZjE8QM</x:v>
      </x:c>
      <x:c r="G18" s="57" t="str">
        <x:v>2026-08-13</x:v>
      </x:c>
      <x:c r="H18" s="57" t="str">
        <x:v>S19</x:v>
      </x:c>
    </x:row>
    <x:row r="19" ht="42" customHeight="1">
      <x:c r="A19" s="57" t="str">
        <x:v>YT015</x:v>
      </x:c>
      <x:c r="B19" s="57" t="str">
        <x:v>Kettlebell Swing</x:v>
      </x:c>
      <x:c r="C19" s="57" t="str">
        <x:v>EX014</x:v>
      </x:c>
      <x:c r="D19" s="57" t="str">
        <x:v>The Kettlebell Swing</x:v>
      </x:c>
      <x:c r="E19" s="57" t="str">
        <x:v>혼합 동작 데모</x:v>
      </x:c>
      <x:c r="F19" s="57" t="str">
        <x:v>https://www.youtube.com/watch?v=mKDIuUbH94Q</x:v>
      </x:c>
      <x:c r="G19" s="57" t="str">
        <x:v>2026-08-13</x:v>
      </x:c>
      <x:c r="H19" s="57" t="str">
        <x:v>S19</x:v>
      </x:c>
    </x:row>
    <x:row r="20" ht="42" customHeight="1">
      <x:c r="A20" s="57" t="str">
        <x:v>YT016</x:v>
      </x:c>
      <x:c r="B20" s="57" t="str">
        <x:v>Burpee</x:v>
      </x:c>
      <x:c r="C20" s="57" t="str">
        <x:v>EX051</x:v>
      </x:c>
      <x:c r="D20" s="57" t="str">
        <x:v>The Burpee</x:v>
      </x:c>
      <x:c r="E20" s="57" t="str">
        <x:v>체조 데모</x:v>
      </x:c>
      <x:c r="F20" s="57" t="str">
        <x:v>https://www.youtube.com/watch?v=TU8QYVW0gDU</x:v>
      </x:c>
      <x:c r="G20" s="57" t="str">
        <x:v>2026-08-13</x:v>
      </x:c>
      <x:c r="H20" s="57" t="str">
        <x:v>S19</x:v>
      </x:c>
    </x:row>
    <x:row r="21" ht="42" customHeight="1">
      <x:c r="A21" s="57" t="str">
        <x:v>YT017</x:v>
      </x:c>
      <x:c r="B21" s="57" t="str">
        <x:v>Burpee Box Jump-over</x:v>
      </x:c>
      <x:c r="C21" s="57" t="str">
        <x:v>EX099</x:v>
      </x:c>
      <x:c r="D21" s="57" t="str">
        <x:v>The Burpee Box Jump Over</x:v>
      </x:c>
      <x:c r="E21" s="57" t="str">
        <x:v>오픈 변형 데모</x:v>
      </x:c>
      <x:c r="F21" s="57" t="str">
        <x:v>https://www.youtube.com/watch?v=GLktGkmcvWE</x:v>
      </x:c>
      <x:c r="G21" s="57" t="str">
        <x:v>2026-08-13</x:v>
      </x:c>
      <x:c r="H21" s="57" t="str">
        <x:v>S19</x:v>
      </x:c>
    </x:row>
    <x:row r="22" ht="42" customHeight="1">
      <x:c r="A22" s="57" t="str">
        <x:v>YT018</x:v>
      </x:c>
      <x:c r="B22" s="57" t="str">
        <x:v>Chest-to-bar Pull-up</x:v>
      </x:c>
      <x:c r="C22" s="57" t="str">
        <x:v>EX028</x:v>
      </x:c>
      <x:c r="D22" s="57" t="str">
        <x:v>Kipping Chest-To-Bar PullUp</x:v>
      </x:c>
      <x:c r="E22" s="57" t="str">
        <x:v>체조 데모</x:v>
      </x:c>
      <x:c r="F22" s="57" t="str">
        <x:v>https://www.youtube.com/watch?v=p9Stan68FYM</x:v>
      </x:c>
      <x:c r="G22" s="57" t="str">
        <x:v>2026-08-13</x:v>
      </x:c>
      <x:c r="H22" s="57" t="str">
        <x:v>S19</x:v>
      </x:c>
    </x:row>
    <x:row r="23">
      <x:c r="A23" s="48" t="str">
        <x:v>YT019</x:v>
      </x:c>
      <x:c r="B23" s="48" t="str">
        <x:v>Sumo Deadlift High Pull</x:v>
      </x:c>
      <x:c r="C23" s="48" t="str">
        <x:v>EX115</x:v>
      </x:c>
      <x:c r="D23" s="48" t="str">
        <x:v>The Sumo Deadlift High Pull: CrossFit Foundational Movement</x:v>
      </x:c>
      <x:c r="E23" s="48" t="str">
        <x:v>기초 동작 데모</x:v>
      </x:c>
      <x:c r="F23" s="48" t="str">
        <x:v>https://www.youtube.com/watch?v=o6QniJ9FaGA</x:v>
      </x:c>
      <x:c r="G23" s="48" t="str">
        <x:v>2026-08-13</x:v>
      </x:c>
      <x:c r="H23" s="48" t="str">
        <x:v>S19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832cae304904e0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24" hidden="0" customWidth="1"/>
    <x:col min="4" max="4" width="16" hidden="0" customWidth="1"/>
    <x:col min="5" max="5" width="18" hidden="0" customWidth="1"/>
    <x:col min="6" max="6" width="25" hidden="0" customWidth="1"/>
    <x:col min="7" max="7" width="18" hidden="0" customWidth="1"/>
    <x:col min="8" max="8" width="22" hidden="0" customWidth="1"/>
    <x:col min="9" max="9" width="10" hidden="0" customWidth="1"/>
    <x:col min="10" max="10" width="10" hidden="0" customWidth="1"/>
    <x:col min="11" max="11" width="13" hidden="0" customWidth="1"/>
    <x:col min="12" max="12" width="14" hidden="0" customWidth="1"/>
    <x:col min="13" max="13" width="22" hidden="0" customWidth="1"/>
    <x:col min="14" max="14" width="22" hidden="0" customWidth="1"/>
    <x:col min="15" max="15" width="28" hidden="0" customWidth="1"/>
    <x:col min="16" max="16" width="28" hidden="0" customWidth="1"/>
    <x:col min="17" max="17" width="38" hidden="0" customWidth="1"/>
    <x:col min="18" max="18" width="10" hidden="0" customWidth="1"/>
    <x:col min="19" max="19" width="52" hidden="0" customWidth="1"/>
    <x:col min="20" max="20" width="15" hidden="0" customWidth="1"/>
    <x:col min="21" max="21" width="15" hidden="0" customWidth="1"/>
    <x:col min="22" max="22" width="25" hidden="0" customWidth="1"/>
    <x:col min="23" max="23" width="55" hidden="0" customWidth="1"/>
    <x:col min="24" max="24" width="13" hidden="0" customWidth="1"/>
    <x:col min="25" max="25" width="58" hidden="0" customWidth="1"/>
    <x:col min="26" max="26" width="58" hidden="0" customWidth="1"/>
  </x:cols>
  <x:sheetData>
    <x:row r="1" ht="30" customHeight="1">
      <x:c r="A1" s="54" t="str">
        <x:v>운동 데이터베이스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 ht="30" customHeight="1">
      <x:c r="A2" s="55" t="str">
        <x:v>115개 운동 | 오픈 출현 이력·공식 동작 라이브러리·검증된 YouTube 링크 포함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 ht="32" customHeight="1">
      <x:c r="A4" s="56" t="str">
        <x:v>ExerciseID</x:v>
      </x:c>
      <x:c r="B4" s="56" t="str">
        <x:v>한글명</x:v>
      </x:c>
      <x:c r="C4" s="56" t="str">
        <x:v>English</x:v>
      </x:c>
      <x:c r="D4" s="56" t="str">
        <x:v>모달리티</x:v>
      </x:c>
      <x:c r="E4" s="56" t="str">
        <x:v>계열</x:v>
      </x:c>
      <x:c r="F4" s="56" t="str">
        <x:v>주 패턴</x:v>
      </x:c>
      <x:c r="G4" s="56" t="str">
        <x:v>권장 슬롯</x:v>
      </x:c>
      <x:c r="H4" s="56" t="str">
        <x:v>장비</x:v>
      </x:c>
      <x:c r="I4" s="56" t="str">
        <x:v>MinLevel</x:v>
      </x:c>
      <x:c r="J4" s="56" t="str">
        <x:v>Skill 1-5</x:v>
      </x:c>
      <x:c r="K4" s="56" t="str">
        <x:v>충격</x:v>
      </x:c>
      <x:c r="L4" s="56" t="str">
        <x:v>처방 단위</x:v>
      </x:c>
      <x:c r="M4" s="56" t="str">
        <x:v>기본 용량</x:v>
      </x:c>
      <x:c r="N4" s="56" t="str">
        <x:v>상대 부하</x:v>
      </x:c>
      <x:c r="O4" s="56" t="str">
        <x:v>회귀</x:v>
      </x:c>
      <x:c r="P4" s="56" t="str">
        <x:v>진행</x:v>
      </x:c>
      <x:c r="Q4" s="56" t="str">
        <x:v>금기/주의</x:v>
      </x:c>
      <x:c r="R4" s="56" t="str">
        <x:v>SourceID</x:v>
      </x:c>
      <x:c r="S4" s="56" t="str">
        <x:v>Source URL</x:v>
      </x:c>
      <x:c r="T4" s="56" t="str">
        <x:v>Open Rx 2017-26</x:v>
      </x:c>
      <x:c r="U4" s="56" t="str">
        <x:v>Open 워크아웃 수</x:v>
      </x:c>
      <x:c r="V4" s="56" t="str">
        <x:v>Open 시즌</x:v>
      </x:c>
      <x:c r="W4" s="56" t="str">
        <x:v>Open 워크아웃</x:v>
      </x:c>
      <x:c r="X4" s="56" t="str">
        <x:v>최근 Open</x:v>
      </x:c>
      <x:c r="Y4" s="56" t="str">
        <x:v>CrossFit Movements</x:v>
      </x:c>
      <x:c r="Z4" s="56" t="str">
        <x:v>공식 YouTube</x:v>
      </x:c>
    </x:row>
    <x:row r="5" ht="46" customHeight="1">
      <x:c r="A5" s="57" t="str">
        <x:v>EX001</x:v>
      </x:c>
      <x:c r="B5" s="57" t="str">
        <x:v>에어 스쿼트</x:v>
      </x:c>
      <x:c r="C5" s="57" t="str">
        <x:v>Air Squat</x:v>
      </x:c>
      <x:c r="D5" s="57" t="str">
        <x:v>체조</x:v>
      </x:c>
      <x:c r="E5" s="57" t="str">
        <x:v>스쿼트</x:v>
      </x:c>
      <x:c r="F5" s="57" t="str">
        <x:v>스쿼트</x:v>
      </x:c>
      <x:c r="G5" s="57" t="str">
        <x:v>워밍업/메트콘</x:v>
      </x:c>
      <x:c r="H5" s="57" t="str">
        <x:v>없음</x:v>
      </x:c>
      <x:c r="I5" s="66" t="n">
        <x:v>1</x:v>
      </x:c>
      <x:c r="J5" s="66" t="n">
        <x:v>1</x:v>
      </x:c>
      <x:c r="K5" s="57" t="str">
        <x:v>낮음</x:v>
      </x:c>
      <x:c r="L5" s="57" t="str">
        <x:v>회</x:v>
      </x:c>
      <x:c r="M5" s="57" t="str">
        <x:v>2~4×10~20</x:v>
      </x:c>
      <x:c r="N5" s="57" t="str">
        <x:v>무부하</x:v>
      </x:c>
      <x:c r="O5" s="57" t="str">
        <x:v>박스 스쿼트</x:v>
      </x:c>
      <x:c r="P5" s="57" t="str">
        <x:v>고블릿 스쿼트</x:v>
      </x:c>
      <x:c r="Q5" s="57" t="str">
        <x:v>급성 무릎 통증</x:v>
      </x:c>
      <x:c r="R5" s="57" t="str">
        <x:v>S15</x:v>
      </x:c>
      <x:c r="S5" s="57" t="str">
        <x:v>https://www.crossfit.com/movements/</x:v>
      </x:c>
      <x:c r="T5" s="57" t="str">
        <x:v>N</x:v>
      </x:c>
      <x:c r="U5" s="66" t="n">
        <x:v>0</x:v>
      </x:c>
      <x:c r="V5" s="57" t="str"/>
      <x:c r="W5" s="57" t="str"/>
      <x:c r="X5" s="57" t="str"/>
      <x:c r="Y5" s="57" t="str">
        <x:v>https://www.crossfit.com/essentials/movements</x:v>
      </x:c>
      <x:c r="Z5" s="57" t="str">
        <x:v>https://www.youtube.com/watch?v=C_VtOYc6j5c</x:v>
      </x:c>
    </x:row>
    <x:row r="6" ht="46" customHeight="1">
      <x:c r="A6" s="57" t="str">
        <x:v>EX002</x:v>
      </x:c>
      <x:c r="B6" s="57" t="str">
        <x:v>고블릿 스쿼트</x:v>
      </x:c>
      <x:c r="C6" s="57" t="str">
        <x:v>Goblet Squat</x:v>
      </x:c>
      <x:c r="D6" s="57" t="str">
        <x:v>웨이트리프팅</x:v>
      </x:c>
      <x:c r="E6" s="57" t="str">
        <x:v>스쿼트</x:v>
      </x:c>
      <x:c r="F6" s="57" t="str">
        <x:v>스쿼트</x:v>
      </x:c>
      <x:c r="G6" s="57" t="str">
        <x:v>근력/메트콘</x:v>
      </x:c>
      <x:c r="H6" s="57" t="str">
        <x:v>덤벨/케틀벨</x:v>
      </x:c>
      <x:c r="I6" s="66" t="n">
        <x:v>1</x:v>
      </x:c>
      <x:c r="J6" s="66" t="n">
        <x:v>1</x:v>
      </x:c>
      <x:c r="K6" s="57" t="str">
        <x:v>낮음</x:v>
      </x:c>
      <x:c r="L6" s="57" t="str">
        <x:v>세트×회</x:v>
      </x:c>
      <x:c r="M6" s="57" t="str">
        <x:v>3~5×6~12</x:v>
      </x:c>
      <x:c r="N6" s="57" t="str">
        <x:v>가벼움~중간</x:v>
      </x:c>
      <x:c r="O6" s="57" t="str">
        <x:v>박스 고블릿 스쿼트</x:v>
      </x:c>
      <x:c r="P6" s="57" t="str">
        <x:v>프론트 스쿼트</x:v>
      </x:c>
      <x:c r="Q6" s="57" t="str">
        <x:v>급성 무릎/고관절 통증</x:v>
      </x:c>
      <x:c r="R6" s="57" t="str">
        <x:v>S15</x:v>
      </x:c>
      <x:c r="S6" s="57" t="str">
        <x:v>https://www.crossfit.com/movements/</x:v>
      </x:c>
      <x:c r="T6" s="57" t="str">
        <x:v>N</x:v>
      </x:c>
      <x:c r="U6" s="66" t="n">
        <x:v>0</x:v>
      </x:c>
      <x:c r="V6" s="57" t="str"/>
      <x:c r="W6" s="57" t="str"/>
      <x:c r="X6" s="57" t="str"/>
      <x:c r="Y6" s="57" t="str">
        <x:v>https://www.crossfit.com/essentials/movements</x:v>
      </x:c>
      <x:c r="Z6" s="57" t="str"/>
    </x:row>
    <x:row r="7" ht="46" customHeight="1">
      <x:c r="A7" s="57" t="str">
        <x:v>EX003</x:v>
      </x:c>
      <x:c r="B7" s="57" t="str">
        <x:v>프론트 스쿼트</x:v>
      </x:c>
      <x:c r="C7" s="57" t="str">
        <x:v>Front Squat</x:v>
      </x:c>
      <x:c r="D7" s="57" t="str">
        <x:v>웨이트리프팅</x:v>
      </x:c>
      <x:c r="E7" s="57" t="str">
        <x:v>스쿼트</x:v>
      </x:c>
      <x:c r="F7" s="57" t="str">
        <x:v>스쿼트+프론트랙</x:v>
      </x:c>
      <x:c r="G7" s="57" t="str">
        <x:v>주근력</x:v>
      </x:c>
      <x:c r="H7" s="57" t="str">
        <x:v>바벨/랙</x:v>
      </x:c>
      <x:c r="I7" s="66" t="n">
        <x:v>1</x:v>
      </x:c>
      <x:c r="J7" s="66" t="n">
        <x:v>2</x:v>
      </x:c>
      <x:c r="K7" s="57" t="str">
        <x:v>중간</x:v>
      </x:c>
      <x:c r="L7" s="57" t="str">
        <x:v>세트×회</x:v>
      </x:c>
      <x:c r="M7" s="57" t="str">
        <x:v>3~5×3~6 @RIR2~4</x:v>
      </x:c>
      <x:c r="N7" s="57" t="str">
        <x:v>중간~무거움</x:v>
      </x:c>
      <x:c r="O7" s="57" t="str">
        <x:v>고블릿 스쿼트</x:v>
      </x:c>
      <x:c r="P7" s="57" t="str">
        <x:v>템포/포즈 프론트 스쿼트</x:v>
      </x:c>
      <x:c r="Q7" s="57" t="str">
        <x:v>손목/어깨 프론트랙 제한</x:v>
      </x:c>
      <x:c r="R7" s="57" t="str">
        <x:v>S14</x:v>
      </x:c>
      <x:c r="S7" s="57" t="str">
        <x:v>https://www.catalystathletics.com/exercises/</x:v>
      </x:c>
      <x:c r="T7" s="57" t="str">
        <x:v>Y</x:v>
      </x:c>
      <x:c r="U7" s="66" t="n">
        <x:v>1</x:v>
      </x:c>
      <x:c r="V7" s="57" t="str">
        <x:v>2021</x:v>
      </x:c>
      <x:c r="W7" s="57" t="str">
        <x:v>21.3</x:v>
      </x:c>
      <x:c r="X7" s="57" t="n">
        <x:v>2021</x:v>
      </x:c>
      <x:c r="Y7" s="57" t="str">
        <x:v>https://www.crossfit.com/essentials/movements</x:v>
      </x:c>
      <x:c r="Z7" s="57" t="str">
        <x:v>https://www.youtube.com/watch?v=m4ytaCJZpl0</x:v>
      </x:c>
    </x:row>
    <x:row r="8" ht="46" customHeight="1">
      <x:c r="A8" s="57" t="str">
        <x:v>EX004</x:v>
      </x:c>
      <x:c r="B8" s="57" t="str">
        <x:v>백 스쿼트</x:v>
      </x:c>
      <x:c r="C8" s="57" t="str">
        <x:v>Back Squat</x:v>
      </x:c>
      <x:c r="D8" s="57" t="str">
        <x:v>웨이트리프팅</x:v>
      </x:c>
      <x:c r="E8" s="57" t="str">
        <x:v>스쿼트</x:v>
      </x:c>
      <x:c r="F8" s="57" t="str">
        <x:v>스쿼트</x:v>
      </x:c>
      <x:c r="G8" s="57" t="str">
        <x:v>주근력</x:v>
      </x:c>
      <x:c r="H8" s="57" t="str">
        <x:v>바벨/랙</x:v>
      </x:c>
      <x:c r="I8" s="66" t="n">
        <x:v>1</x:v>
      </x:c>
      <x:c r="J8" s="66" t="n">
        <x:v>2</x:v>
      </x:c>
      <x:c r="K8" s="57" t="str">
        <x:v>중간</x:v>
      </x:c>
      <x:c r="L8" s="57" t="str">
        <x:v>세트×회</x:v>
      </x:c>
      <x:c r="M8" s="57" t="str">
        <x:v>3~5×3~8 @RIR2~4</x:v>
      </x:c>
      <x:c r="N8" s="57" t="str">
        <x:v>중간~무거움</x:v>
      </x:c>
      <x:c r="O8" s="57" t="str">
        <x:v>박스 스쿼트</x:v>
      </x:c>
      <x:c r="P8" s="57" t="str">
        <x:v>포즈 백 스쿼트</x:v>
      </x:c>
      <x:c r="Q8" s="57" t="str">
        <x:v>급성 요통/무릎 통증</x:v>
      </x:c>
      <x:c r="R8" s="57" t="str">
        <x:v>S03</x:v>
      </x:c>
      <x:c r="S8" s="57" t="str">
        <x:v>https://stronglifts.com/stronglifts-5x5/workout-program/</x:v>
      </x:c>
      <x:c r="T8" s="57" t="str">
        <x:v>N</x:v>
      </x:c>
      <x:c r="U8" s="66" t="n">
        <x:v>0</x:v>
      </x:c>
      <x:c r="V8" s="57" t="str"/>
      <x:c r="W8" s="57" t="str"/>
      <x:c r="X8" s="57" t="str"/>
      <x:c r="Y8" s="57" t="str">
        <x:v>https://www.crossfit.com/essentials/movements</x:v>
      </x:c>
      <x:c r="Z8" s="57" t="str"/>
    </x:row>
    <x:row r="9" ht="46" customHeight="1">
      <x:c r="A9" s="57" t="str">
        <x:v>EX005</x:v>
      </x:c>
      <x:c r="B9" s="57" t="str">
        <x:v>오버헤드 스쿼트</x:v>
      </x:c>
      <x:c r="C9" s="57" t="str">
        <x:v>Overhead Squat</x:v>
      </x:c>
      <x:c r="D9" s="57" t="str">
        <x:v>웨이트리프팅</x:v>
      </x:c>
      <x:c r="E9" s="57" t="str">
        <x:v>스쿼트</x:v>
      </x:c>
      <x:c r="F9" s="57" t="str">
        <x:v>스쿼트+오버헤드</x:v>
      </x:c>
      <x:c r="G9" s="57" t="str">
        <x:v>기술/근력</x:v>
      </x:c>
      <x:c r="H9" s="57" t="str">
        <x:v>PVC/바벨</x:v>
      </x:c>
      <x:c r="I9" s="66" t="n">
        <x:v>1</x:v>
      </x:c>
      <x:c r="J9" s="66" t="n">
        <x:v>3</x:v>
      </x:c>
      <x:c r="K9" s="57" t="str">
        <x:v>중간</x:v>
      </x:c>
      <x:c r="L9" s="57" t="str">
        <x:v>품질회</x:v>
      </x:c>
      <x:c r="M9" s="57" t="str">
        <x:v>4~6×2~5</x:v>
      </x:c>
      <x:c r="N9" s="57" t="str">
        <x:v>가벼움~중간</x:v>
      </x:c>
      <x:c r="O9" s="57" t="str">
        <x:v>PVC OHS/프론트 스쿼트</x:v>
      </x:c>
      <x:c r="P9" s="57" t="str">
        <x:v>스내치 밸런스</x:v>
      </x:c>
      <x:c r="Q9" s="57" t="str">
        <x:v>어깨 가동성 제한</x:v>
      </x:c>
      <x:c r="R9" s="57" t="str">
        <x:v>S14</x:v>
      </x:c>
      <x:c r="S9" s="57" t="str">
        <x:v>https://www.catalystathletics.com/exercises/</x:v>
      </x:c>
      <x:c r="T9" s="57" t="str">
        <x:v>Y</x:v>
      </x:c>
      <x:c r="U9" s="66" t="n">
        <x:v>1</x:v>
      </x:c>
      <x:c r="V9" s="57" t="str">
        <x:v>2018</x:v>
      </x:c>
      <x:c r="W9" s="57" t="str">
        <x:v>18.3</x:v>
      </x:c>
      <x:c r="X9" s="57" t="n">
        <x:v>2018</x:v>
      </x:c>
      <x:c r="Y9" s="57" t="str">
        <x:v>https://www.crossfit.com/essentials/movements</x:v>
      </x:c>
      <x:c r="Z9" s="57" t="str">
        <x:v>https://www.youtube.com/watch?v=RD_vUnqwqqI</x:v>
      </x:c>
    </x:row>
    <x:row r="10" ht="46" customHeight="1">
      <x:c r="A10" s="57" t="str">
        <x:v>EX006</x:v>
      </x:c>
      <x:c r="B10" s="57" t="str">
        <x:v>불가리안 스플릿 스쿼트</x:v>
      </x:c>
      <x:c r="C10" s="57" t="str">
        <x:v>Bulgarian Split Squat</x:v>
      </x:c>
      <x:c r="D10" s="57" t="str">
        <x:v>웨이트리프팅</x:v>
      </x:c>
      <x:c r="E10" s="57" t="str">
        <x:v>편측 하체</x:v>
      </x:c>
      <x:c r="F10" s="57" t="str">
        <x:v>스쿼트</x:v>
      </x:c>
      <x:c r="G10" s="57" t="str">
        <x:v>보조근력</x:v>
      </x:c>
      <x:c r="H10" s="57" t="str">
        <x:v>벤치/덤벨</x:v>
      </x:c>
      <x:c r="I10" s="66" t="n">
        <x:v>1</x:v>
      </x:c>
      <x:c r="J10" s="66" t="n">
        <x:v>2</x:v>
      </x:c>
      <x:c r="K10" s="57" t="str">
        <x:v>낮음</x:v>
      </x:c>
      <x:c r="L10" s="57" t="str">
        <x:v>세트×회/측</x:v>
      </x:c>
      <x:c r="M10" s="57" t="str">
        <x:v>2~4×6~12</x:v>
      </x:c>
      <x:c r="N10" s="57" t="str">
        <x:v>중간</x:v>
      </x:c>
      <x:c r="O10" s="57" t="str">
        <x:v>스플릿 스쿼트</x:v>
      </x:c>
      <x:c r="P10" s="57" t="str">
        <x:v>프론트랙 BSS</x:v>
      </x:c>
      <x:c r="Q10" s="57" t="str">
        <x:v>균형 불안/급성 무릎 통증</x:v>
      </x:c>
      <x:c r="R10" s="57" t="str">
        <x:v>S15</x:v>
      </x:c>
      <x:c r="S10" s="57" t="str">
        <x:v>https://www.crossfit.com/movements/</x:v>
      </x:c>
      <x:c r="T10" s="57" t="str">
        <x:v>N</x:v>
      </x:c>
      <x:c r="U10" s="66" t="n">
        <x:v>0</x:v>
      </x:c>
      <x:c r="V10" s="57" t="str"/>
      <x:c r="W10" s="57" t="str"/>
      <x:c r="X10" s="57" t="str"/>
      <x:c r="Y10" s="57" t="str">
        <x:v>https://www.crossfit.com/essentials/movements</x:v>
      </x:c>
      <x:c r="Z10" s="57" t="str"/>
    </x:row>
    <x:row r="11" ht="46" customHeight="1">
      <x:c r="A11" s="57" t="str">
        <x:v>EX007</x:v>
      </x:c>
      <x:c r="B11" s="57" t="str">
        <x:v>리버스 런지</x:v>
      </x:c>
      <x:c r="C11" s="57" t="str">
        <x:v>Reverse Lunge</x:v>
      </x:c>
      <x:c r="D11" s="57" t="str">
        <x:v>웨이트리프팅</x:v>
      </x:c>
      <x:c r="E11" s="57" t="str">
        <x:v>편측 하체</x:v>
      </x:c>
      <x:c r="F11" s="57" t="str">
        <x:v>스쿼트</x:v>
      </x:c>
      <x:c r="G11" s="57" t="str">
        <x:v>보조/메트콘</x:v>
      </x:c>
      <x:c r="H11" s="57" t="str">
        <x:v>덤벨 선택</x:v>
      </x:c>
      <x:c r="I11" s="66" t="n">
        <x:v>1</x:v>
      </x:c>
      <x:c r="J11" s="66" t="n">
        <x:v>1</x:v>
      </x:c>
      <x:c r="K11" s="57" t="str">
        <x:v>낮음</x:v>
      </x:c>
      <x:c r="L11" s="57" t="str">
        <x:v>회/측</x:v>
      </x:c>
      <x:c r="M11" s="57" t="str">
        <x:v>2~4×8~16</x:v>
      </x:c>
      <x:c r="N11" s="57" t="str">
        <x:v>가벼움~중간</x:v>
      </x:c>
      <x:c r="O11" s="57" t="str">
        <x:v>지지 런지</x:v>
      </x:c>
      <x:c r="P11" s="57" t="str">
        <x:v>프론트랙 런지</x:v>
      </x:c>
      <x:c r="Q11" s="57" t="str">
        <x:v>급성 무릎 통증</x:v>
      </x:c>
      <x:c r="R11" s="57" t="str">
        <x:v>S15</x:v>
      </x:c>
      <x:c r="S11" s="57" t="str">
        <x:v>https://www.crossfit.com/movements/</x:v>
      </x:c>
      <x:c r="T11" s="57" t="str">
        <x:v>N</x:v>
      </x:c>
      <x:c r="U11" s="66" t="n">
        <x:v>0</x:v>
      </x:c>
      <x:c r="V11" s="57" t="str"/>
      <x:c r="W11" s="57" t="str"/>
      <x:c r="X11" s="57" t="str"/>
      <x:c r="Y11" s="57" t="str">
        <x:v>https://www.crossfit.com/essentials/movements</x:v>
      </x:c>
      <x:c r="Z11" s="57" t="str"/>
    </x:row>
    <x:row r="12" ht="46" customHeight="1">
      <x:c r="A12" s="57" t="str">
        <x:v>EX008</x:v>
      </x:c>
      <x:c r="B12" s="57" t="str">
        <x:v>워킹 런지</x:v>
      </x:c>
      <x:c r="C12" s="57" t="str">
        <x:v>Walking Lunge</x:v>
      </x:c>
      <x:c r="D12" s="57" t="str">
        <x:v>웨이트리프팅</x:v>
      </x:c>
      <x:c r="E12" s="57" t="str">
        <x:v>편측 하체</x:v>
      </x:c>
      <x:c r="F12" s="57" t="str">
        <x:v>스쿼트+이동</x:v>
      </x:c>
      <x:c r="G12" s="57" t="str">
        <x:v>메트콘/보조</x:v>
      </x:c>
      <x:c r="H12" s="57" t="str">
        <x:v>덤벨 선택</x:v>
      </x:c>
      <x:c r="I12" s="66" t="n">
        <x:v>1</x:v>
      </x:c>
      <x:c r="J12" s="66" t="n">
        <x:v>1</x:v>
      </x:c>
      <x:c r="K12" s="57" t="str">
        <x:v>중간</x:v>
      </x:c>
      <x:c r="L12" s="57" t="str">
        <x:v>m/회</x:v>
      </x:c>
      <x:c r="M12" s="57" t="str">
        <x:v>20~100m</x:v>
      </x:c>
      <x:c r="N12" s="57" t="str">
        <x:v>무부하~중간</x:v>
      </x:c>
      <x:c r="O12" s="57" t="str">
        <x:v>제자리 런지</x:v>
      </x:c>
      <x:c r="P12" s="57" t="str">
        <x:v>오버헤드 런지</x:v>
      </x:c>
      <x:c r="Q12" s="57" t="str">
        <x:v>무릎/아킬레스 통증</x:v>
      </x:c>
      <x:c r="R12" s="57" t="str">
        <x:v>S15</x:v>
      </x:c>
      <x:c r="S12" s="57" t="str">
        <x:v>https://www.crossfit.com/movements/</x:v>
      </x:c>
      <x:c r="T12" s="57" t="str">
        <x:v>Y</x:v>
      </x:c>
      <x:c r="U12" s="66" t="n">
        <x:v>1</x:v>
      </x:c>
      <x:c r="V12" s="57" t="str">
        <x:v>2025</x:v>
      </x:c>
      <x:c r="W12" s="57" t="str">
        <x:v>25.1</x:v>
      </x:c>
      <x:c r="X12" s="57" t="n">
        <x:v>2025</x:v>
      </x:c>
      <x:c r="Y12" s="57" t="str">
        <x:v>https://www.crossfit.com/essentials/movements</x:v>
      </x:c>
      <x:c r="Z12" s="57" t="str"/>
    </x:row>
    <x:row r="13" ht="46" customHeight="1">
      <x:c r="A13" s="57" t="str">
        <x:v>EX009</x:v>
      </x:c>
      <x:c r="B13" s="57" t="str">
        <x:v>박스 스텝업</x:v>
      </x:c>
      <x:c r="C13" s="57" t="str">
        <x:v>Box Step-up</x:v>
      </x:c>
      <x:c r="D13" s="57" t="str">
        <x:v>체조</x:v>
      </x:c>
      <x:c r="E13" s="57" t="str">
        <x:v>편측 하체</x:v>
      </x:c>
      <x:c r="F13" s="57" t="str">
        <x:v>스쿼트+스텝</x:v>
      </x:c>
      <x:c r="G13" s="57" t="str">
        <x:v>메트콘/보조</x:v>
      </x:c>
      <x:c r="H13" s="57" t="str">
        <x:v>박스</x:v>
      </x:c>
      <x:c r="I13" s="66" t="n">
        <x:v>1</x:v>
      </x:c>
      <x:c r="J13" s="66" t="n">
        <x:v>1</x:v>
      </x:c>
      <x:c r="K13" s="57" t="str">
        <x:v>낮음</x:v>
      </x:c>
      <x:c r="L13" s="57" t="str">
        <x:v>회/측</x:v>
      </x:c>
      <x:c r="M13" s="57" t="str">
        <x:v>2~4×8~20</x:v>
      </x:c>
      <x:c r="N13" s="57" t="str">
        <x:v>무부하~중간</x:v>
      </x:c>
      <x:c r="O13" s="57" t="str">
        <x:v>낮은 박스</x:v>
      </x:c>
      <x:c r="P13" s="57" t="str">
        <x:v>덤벨 스텝업</x:v>
      </x:c>
      <x:c r="Q13" s="57" t="str">
        <x:v>균형 불안</x:v>
      </x:c>
      <x:c r="R13" s="57" t="str">
        <x:v>S15</x:v>
      </x:c>
      <x:c r="S13" s="57" t="str">
        <x:v>https://www.crossfit.com/movements/</x:v>
      </x:c>
      <x:c r="T13" s="57" t="str">
        <x:v>N</x:v>
      </x:c>
      <x:c r="U13" s="66" t="n">
        <x:v>0</x:v>
      </x:c>
      <x:c r="V13" s="57" t="str"/>
      <x:c r="W13" s="57" t="str"/>
      <x:c r="X13" s="57" t="str"/>
      <x:c r="Y13" s="57" t="str">
        <x:v>https://www.crossfit.com/essentials/movements</x:v>
      </x:c>
      <x:c r="Z13" s="57" t="str"/>
    </x:row>
    <x:row r="14" ht="46" customHeight="1">
      <x:c r="A14" s="57" t="str">
        <x:v>EX010</x:v>
      </x:c>
      <x:c r="B14" s="57" t="str">
        <x:v>피스톨</x:v>
      </x:c>
      <x:c r="C14" s="57" t="str">
        <x:v>Pistol Squat</x:v>
      </x:c>
      <x:c r="D14" s="57" t="str">
        <x:v>체조</x:v>
      </x:c>
      <x:c r="E14" s="57" t="str">
        <x:v>편측 하체</x:v>
      </x:c>
      <x:c r="F14" s="57" t="str">
        <x:v>스쿼트</x:v>
      </x:c>
      <x:c r="G14" s="57" t="str">
        <x:v>기술/메트콘</x:v>
      </x:c>
      <x:c r="H14" s="57" t="str">
        <x:v>박스 선택</x:v>
      </x:c>
      <x:c r="I14" s="66" t="n">
        <x:v>2</x:v>
      </x:c>
      <x:c r="J14" s="66" t="n">
        <x:v>4</x:v>
      </x:c>
      <x:c r="K14" s="57" t="str">
        <x:v>중간</x:v>
      </x:c>
      <x:c r="L14" s="57" t="str">
        <x:v>품질회/측</x:v>
      </x:c>
      <x:c r="M14" s="57" t="str">
        <x:v>3~6×2~6</x:v>
      </x:c>
      <x:c r="N14" s="57" t="str">
        <x:v>무부하</x:v>
      </x:c>
      <x:c r="O14" s="57" t="str">
        <x:v>박스 피스톨</x:v>
      </x:c>
      <x:c r="P14" s="57" t="str">
        <x:v>가중 피스톨</x:v>
      </x:c>
      <x:c r="Q14" s="57" t="str">
        <x:v>무릎 통증/발목 제한</x:v>
      </x:c>
      <x:c r="R14" s="57" t="str">
        <x:v>S15</x:v>
      </x:c>
      <x:c r="S14" s="57" t="str">
        <x:v>https://www.crossfit.com/movements/</x:v>
      </x:c>
      <x:c r="T14" s="57" t="str">
        <x:v>Y</x:v>
      </x:c>
      <x:c r="U14" s="66" t="n">
        <x:v>1</x:v>
      </x:c>
      <x:c r="V14" s="57" t="str">
        <x:v>2020</x:v>
      </x:c>
      <x:c r="W14" s="57" t="str">
        <x:v>20.4</x:v>
      </x:c>
      <x:c r="X14" s="57" t="n">
        <x:v>2020</x:v>
      </x:c>
      <x:c r="Y14" s="57" t="str">
        <x:v>https://www.crossfit.com/essentials/movements</x:v>
      </x:c>
      <x:c r="Z14" s="57" t="str"/>
    </x:row>
    <x:row r="15" ht="46" customHeight="1">
      <x:c r="A15" s="57" t="str">
        <x:v>EX011</x:v>
      </x:c>
      <x:c r="B15" s="57" t="str">
        <x:v>데드리프트</x:v>
      </x:c>
      <x:c r="C15" s="57" t="str">
        <x:v>Deadlift</x:v>
      </x:c>
      <x:c r="D15" s="57" t="str">
        <x:v>웨이트리프팅</x:v>
      </x:c>
      <x:c r="E15" s="57" t="str">
        <x:v>힌지</x:v>
      </x:c>
      <x:c r="F15" s="57" t="str">
        <x:v>힌지+당김</x:v>
      </x:c>
      <x:c r="G15" s="57" t="str">
        <x:v>주근력/메트콘</x:v>
      </x:c>
      <x:c r="H15" s="57" t="str">
        <x:v>바벨</x:v>
      </x:c>
      <x:c r="I15" s="66" t="n">
        <x:v>1</x:v>
      </x:c>
      <x:c r="J15" s="66" t="n">
        <x:v>2</x:v>
      </x:c>
      <x:c r="K15" s="57" t="str">
        <x:v>중간</x:v>
      </x:c>
      <x:c r="L15" s="57" t="str">
        <x:v>세트×회</x:v>
      </x:c>
      <x:c r="M15" s="57" t="str">
        <x:v>1~5×3~8</x:v>
      </x:c>
      <x:c r="N15" s="57" t="str">
        <x:v>중간~무거움</x:v>
      </x:c>
      <x:c r="O15" s="57" t="str">
        <x:v>상승 데드리프트/KB 데드리프트</x:v>
      </x:c>
      <x:c r="P15" s="57" t="str">
        <x:v>포즈/디피싯 데드리프트</x:v>
      </x:c>
      <x:c r="Q15" s="57" t="str">
        <x:v>급성 요통</x:v>
      </x:c>
      <x:c r="R15" s="57" t="str">
        <x:v>S03</x:v>
      </x:c>
      <x:c r="S15" s="57" t="str">
        <x:v>https://stronglifts.com/stronglifts-5x5/workout-program/</x:v>
      </x:c>
      <x:c r="T15" s="57" t="str">
        <x:v>Y</x:v>
      </x:c>
      <x:c r="U15" s="66" t="n">
        <x:v>7</x:v>
      </x:c>
      <x:c r="V15" s="57" t="str">
        <x:v>2017, 2018, 2020, 2021, 2022, 2024, 2025</x:v>
      </x:c>
      <x:c r="W15" s="57" t="str">
        <x:v>17.4, 18.4, 20.3, 21.4, 22.2, 24.2, 25.3</x:v>
      </x:c>
      <x:c r="X15" s="57" t="n">
        <x:v>2025</x:v>
      </x:c>
      <x:c r="Y15" s="57" t="str">
        <x:v>https://www.crossfit.com/essentials/movements</x:v>
      </x:c>
      <x:c r="Z15" s="57" t="str">
        <x:v>https://www.youtube.com/watch?v=op9kVnSso6Q</x:v>
      </x:c>
    </x:row>
    <x:row r="16" ht="46" customHeight="1">
      <x:c r="A16" s="57" t="str">
        <x:v>EX012</x:v>
      </x:c>
      <x:c r="B16" s="57" t="str">
        <x:v>루마니안 데드리프트</x:v>
      </x:c>
      <x:c r="C16" s="57" t="str">
        <x:v>Romanian Deadlift</x:v>
      </x:c>
      <x:c r="D16" s="57" t="str">
        <x:v>웨이트리프팅</x:v>
      </x:c>
      <x:c r="E16" s="57" t="str">
        <x:v>힌지</x:v>
      </x:c>
      <x:c r="F16" s="57" t="str">
        <x:v>힌지</x:v>
      </x:c>
      <x:c r="G16" s="57" t="str">
        <x:v>보조근력</x:v>
      </x:c>
      <x:c r="H16" s="57" t="str">
        <x:v>바벨/덤벨</x:v>
      </x:c>
      <x:c r="I16" s="66" t="n">
        <x:v>1</x:v>
      </x:c>
      <x:c r="J16" s="66" t="n">
        <x:v>2</x:v>
      </x:c>
      <x:c r="K16" s="57" t="str">
        <x:v>낮음</x:v>
      </x:c>
      <x:c r="L16" s="57" t="str">
        <x:v>세트×회</x:v>
      </x:c>
      <x:c r="M16" s="57" t="str">
        <x:v>2~4×6~12</x:v>
      </x:c>
      <x:c r="N16" s="57" t="str">
        <x:v>중간</x:v>
      </x:c>
      <x:c r="O16" s="57" t="str">
        <x:v>덤벨 RDL 짧은 ROM</x:v>
      </x:c>
      <x:c r="P16" s="57" t="str">
        <x:v>싱글레그 RDL</x:v>
      </x:c>
      <x:c r="Q16" s="57" t="str">
        <x:v>급성 햄스트링/요통</x:v>
      </x:c>
      <x:c r="R16" s="57" t="str">
        <x:v>S15</x:v>
      </x:c>
      <x:c r="S16" s="57" t="str">
        <x:v>https://www.crossfit.com/movements/</x:v>
      </x:c>
      <x:c r="T16" s="57" t="str">
        <x:v>N</x:v>
      </x:c>
      <x:c r="U16" s="66" t="n">
        <x:v>0</x:v>
      </x:c>
      <x:c r="V16" s="57" t="str"/>
      <x:c r="W16" s="57" t="str"/>
      <x:c r="X16" s="57" t="str"/>
      <x:c r="Y16" s="57" t="str">
        <x:v>https://www.crossfit.com/essentials/movements</x:v>
      </x:c>
      <x:c r="Z16" s="57" t="str"/>
    </x:row>
    <x:row r="17" ht="46" customHeight="1">
      <x:c r="A17" s="57" t="str">
        <x:v>EX013</x:v>
      </x:c>
      <x:c r="B17" s="57" t="str">
        <x:v>케틀벨 데드리프트</x:v>
      </x:c>
      <x:c r="C17" s="57" t="str">
        <x:v>Kettlebell Deadlift</x:v>
      </x:c>
      <x:c r="D17" s="57" t="str">
        <x:v>웨이트리프팅</x:v>
      </x:c>
      <x:c r="E17" s="57" t="str">
        <x:v>힌지</x:v>
      </x:c>
      <x:c r="F17" s="57" t="str">
        <x:v>힌지</x:v>
      </x:c>
      <x:c r="G17" s="57" t="str">
        <x:v>학습/메트콘</x:v>
      </x:c>
      <x:c r="H17" s="57" t="str">
        <x:v>케틀벨</x:v>
      </x:c>
      <x:c r="I17" s="66" t="n">
        <x:v>1</x:v>
      </x:c>
      <x:c r="J17" s="66" t="n">
        <x:v>1</x:v>
      </x:c>
      <x:c r="K17" s="57" t="str">
        <x:v>낮음</x:v>
      </x:c>
      <x:c r="L17" s="57" t="str">
        <x:v>회</x:v>
      </x:c>
      <x:c r="M17" s="57" t="str">
        <x:v>2~4×8~15</x:v>
      </x:c>
      <x:c r="N17" s="57" t="str">
        <x:v>가벼움~중간</x:v>
      </x:c>
      <x:c r="O17" s="57" t="str">
        <x:v>상승 KB 데드리프트</x:v>
      </x:c>
      <x:c r="P17" s="57" t="str">
        <x:v>바벨 데드리프트</x:v>
      </x:c>
      <x:c r="Q17" s="57" t="str">
        <x:v>급성 요통</x:v>
      </x:c>
      <x:c r="R17" s="57" t="str">
        <x:v>S15</x:v>
      </x:c>
      <x:c r="S17" s="57" t="str">
        <x:v>https://www.crossfit.com/movements/</x:v>
      </x:c>
      <x:c r="T17" s="57" t="str">
        <x:v>N</x:v>
      </x:c>
      <x:c r="U17" s="66" t="n">
        <x:v>0</x:v>
      </x:c>
      <x:c r="V17" s="57" t="str"/>
      <x:c r="W17" s="57" t="str"/>
      <x:c r="X17" s="57" t="str"/>
      <x:c r="Y17" s="57" t="str">
        <x:v>https://www.crossfit.com/essentials/movements</x:v>
      </x:c>
      <x:c r="Z17" s="57" t="str"/>
    </x:row>
    <x:row r="18" ht="46" customHeight="1">
      <x:c r="A18" s="57" t="str">
        <x:v>EX014</x:v>
      </x:c>
      <x:c r="B18" s="57" t="str">
        <x:v>케틀벨 스윙</x:v>
      </x:c>
      <x:c r="C18" s="57" t="str">
        <x:v>Kettlebell Swing</x:v>
      </x:c>
      <x:c r="D18" s="57" t="str">
        <x:v>웨이트리프팅</x:v>
      </x:c>
      <x:c r="E18" s="57" t="str">
        <x:v>힌지</x:v>
      </x:c>
      <x:c r="F18" s="57" t="str">
        <x:v>힌지+파워</x:v>
      </x:c>
      <x:c r="G18" s="57" t="str">
        <x:v>메트콘</x:v>
      </x:c>
      <x:c r="H18" s="57" t="str">
        <x:v>케틀벨</x:v>
      </x:c>
      <x:c r="I18" s="66" t="n">
        <x:v>1</x:v>
      </x:c>
      <x:c r="J18" s="66" t="n">
        <x:v>2</x:v>
      </x:c>
      <x:c r="K18" s="57" t="str">
        <x:v>중간</x:v>
      </x:c>
      <x:c r="L18" s="57" t="str">
        <x:v>회</x:v>
      </x:c>
      <x:c r="M18" s="57" t="str">
        <x:v>8~25/세트</x:v>
      </x:c>
      <x:c r="N18" s="57" t="str">
        <x:v>가벼움~중간</x:v>
      </x:c>
      <x:c r="O18" s="57" t="str">
        <x:v>KB 데드리프트</x:v>
      </x:c>
      <x:c r="P18" s="57" t="str">
        <x:v>러시안→오버헤드 스윙</x:v>
      </x:c>
      <x:c r="Q18" s="57" t="str">
        <x:v>급성 요통/어깨 통증</x:v>
      </x:c>
      <x:c r="R18" s="57" t="str">
        <x:v>S15</x:v>
      </x:c>
      <x:c r="S18" s="57" t="str">
        <x:v>https://www.crossfit.com/movements/</x:v>
      </x:c>
      <x:c r="T18" s="57" t="str">
        <x:v>N</x:v>
      </x:c>
      <x:c r="U18" s="66" t="n">
        <x:v>0</x:v>
      </x:c>
      <x:c r="V18" s="57" t="str"/>
      <x:c r="W18" s="57" t="str"/>
      <x:c r="X18" s="57" t="str"/>
      <x:c r="Y18" s="57" t="str">
        <x:v>https://www.crossfit.com/essentials/movements</x:v>
      </x:c>
      <x:c r="Z18" s="57" t="str">
        <x:v>https://www.youtube.com/watch?v=mKDIuUbH94Q</x:v>
      </x:c>
    </x:row>
    <x:row r="19" ht="46" customHeight="1">
      <x:c r="A19" s="57" t="str">
        <x:v>EX015</x:v>
      </x:c>
      <x:c r="B19" s="57" t="str">
        <x:v>굿모닝</x:v>
      </x:c>
      <x:c r="C19" s="57" t="str">
        <x:v>Good Morning</x:v>
      </x:c>
      <x:c r="D19" s="57" t="str">
        <x:v>웨이트리프팅</x:v>
      </x:c>
      <x:c r="E19" s="57" t="str">
        <x:v>힌지</x:v>
      </x:c>
      <x:c r="F19" s="57" t="str">
        <x:v>힌지</x:v>
      </x:c>
      <x:c r="G19" s="57" t="str">
        <x:v>보조근력</x:v>
      </x:c>
      <x:c r="H19" s="57" t="str">
        <x:v>바벨/밴드</x:v>
      </x:c>
      <x:c r="I19" s="66" t="n">
        <x:v>1</x:v>
      </x:c>
      <x:c r="J19" s="66" t="n">
        <x:v>2</x:v>
      </x:c>
      <x:c r="K19" s="57" t="str">
        <x:v>낮음</x:v>
      </x:c>
      <x:c r="L19" s="57" t="str">
        <x:v>세트×회</x:v>
      </x:c>
      <x:c r="M19" s="57" t="str">
        <x:v>2~4×6~12</x:v>
      </x:c>
      <x:c r="N19" s="57" t="str">
        <x:v>가벼움~중간</x:v>
      </x:c>
      <x:c r="O19" s="57" t="str">
        <x:v>밴드 굿모닝</x:v>
      </x:c>
      <x:c r="P19" s="57" t="str">
        <x:v>템포 굿모닝</x:v>
      </x:c>
      <x:c r="Q19" s="57" t="str">
        <x:v>급성 요통</x:v>
      </x:c>
      <x:c r="R19" s="57" t="str">
        <x:v>S14</x:v>
      </x:c>
      <x:c r="S19" s="57" t="str">
        <x:v>https://www.catalystathletics.com/exercises/</x:v>
      </x:c>
      <x:c r="T19" s="57" t="str">
        <x:v>N</x:v>
      </x:c>
      <x:c r="U19" s="66" t="n">
        <x:v>0</x:v>
      </x:c>
      <x:c r="V19" s="57" t="str"/>
      <x:c r="W19" s="57" t="str"/>
      <x:c r="X19" s="57" t="str"/>
      <x:c r="Y19" s="57" t="str">
        <x:v>https://www.crossfit.com/essentials/movements</x:v>
      </x:c>
      <x:c r="Z19" s="57" t="str"/>
    </x:row>
    <x:row r="20" ht="46" customHeight="1">
      <x:c r="A20" s="57" t="str">
        <x:v>EX016</x:v>
      </x:c>
      <x:c r="B20" s="57" t="str">
        <x:v>싱글레그 RDL</x:v>
      </x:c>
      <x:c r="C20" s="57" t="str">
        <x:v>Single-leg Romanian Deadlift</x:v>
      </x:c>
      <x:c r="D20" s="57" t="str">
        <x:v>웨이트리프팅</x:v>
      </x:c>
      <x:c r="E20" s="57" t="str">
        <x:v>편측 힌지</x:v>
      </x:c>
      <x:c r="F20" s="57" t="str">
        <x:v>힌지+균형</x:v>
      </x:c>
      <x:c r="G20" s="57" t="str">
        <x:v>보조근력</x:v>
      </x:c>
      <x:c r="H20" s="57" t="str">
        <x:v>덤벨 선택</x:v>
      </x:c>
      <x:c r="I20" s="66" t="n">
        <x:v>1</x:v>
      </x:c>
      <x:c r="J20" s="66" t="n">
        <x:v>2</x:v>
      </x:c>
      <x:c r="K20" s="57" t="str">
        <x:v>낮음</x:v>
      </x:c>
      <x:c r="L20" s="57" t="str">
        <x:v>회/측</x:v>
      </x:c>
      <x:c r="M20" s="57" t="str">
        <x:v>2~4×6~10</x:v>
      </x:c>
      <x:c r="N20" s="57" t="str">
        <x:v>가벼움~중간</x:v>
      </x:c>
      <x:c r="O20" s="57" t="str">
        <x:v>킥스탠드 RDL</x:v>
      </x:c>
      <x:c r="P20" s="57" t="str">
        <x:v>가중 싱글레그 RDL</x:v>
      </x:c>
      <x:c r="Q20" s="57" t="str">
        <x:v>균형 불안/햄스트링 통증</x:v>
      </x:c>
      <x:c r="R20" s="57" t="str">
        <x:v>S15</x:v>
      </x:c>
      <x:c r="S20" s="57" t="str">
        <x:v>https://www.crossfit.com/movements/</x:v>
      </x:c>
      <x:c r="T20" s="57" t="str">
        <x:v>N</x:v>
      </x:c>
      <x:c r="U20" s="66" t="n">
        <x:v>0</x:v>
      </x:c>
      <x:c r="V20" s="57" t="str"/>
      <x:c r="W20" s="57" t="str"/>
      <x:c r="X20" s="57" t="str"/>
      <x:c r="Y20" s="57" t="str">
        <x:v>https://www.crossfit.com/essentials/movements</x:v>
      </x:c>
      <x:c r="Z20" s="57" t="str"/>
    </x:row>
    <x:row r="21" ht="46" customHeight="1">
      <x:c r="A21" s="57" t="str">
        <x:v>EX017</x:v>
      </x:c>
      <x:c r="B21" s="57" t="str">
        <x:v>벤치프레스</x:v>
      </x:c>
      <x:c r="C21" s="57" t="str">
        <x:v>Bench Press</x:v>
      </x:c>
      <x:c r="D21" s="57" t="str">
        <x:v>웨이트리프팅</x:v>
      </x:c>
      <x:c r="E21" s="57" t="str">
        <x:v>수평 밀기</x:v>
      </x:c>
      <x:c r="F21" s="57" t="str">
        <x:v>수평 밀기</x:v>
      </x:c>
      <x:c r="G21" s="57" t="str">
        <x:v>주근력</x:v>
      </x:c>
      <x:c r="H21" s="57" t="str">
        <x:v>벤치/바벨</x:v>
      </x:c>
      <x:c r="I21" s="66" t="n">
        <x:v>1</x:v>
      </x:c>
      <x:c r="J21" s="66" t="n">
        <x:v>2</x:v>
      </x:c>
      <x:c r="K21" s="57" t="str">
        <x:v>낮음</x:v>
      </x:c>
      <x:c r="L21" s="57" t="str">
        <x:v>세트×회</x:v>
      </x:c>
      <x:c r="M21" s="57" t="str">
        <x:v>3~5×3~8</x:v>
      </x:c>
      <x:c r="N21" s="57" t="str">
        <x:v>중간~무거움</x:v>
      </x:c>
      <x:c r="O21" s="57" t="str">
        <x:v>덤벨/푸시업</x:v>
      </x:c>
      <x:c r="P21" s="57" t="str">
        <x:v>포즈 벤치프레스</x:v>
      </x:c>
      <x:c r="Q21" s="57" t="str">
        <x:v>급성 어깨/흉근 통증</x:v>
      </x:c>
      <x:c r="R21" s="57" t="str">
        <x:v>S03</x:v>
      </x:c>
      <x:c r="S21" s="57" t="str">
        <x:v>https://stronglifts.com/stronglifts-5x5/workout-program/</x:v>
      </x:c>
      <x:c r="T21" s="57" t="str">
        <x:v>N</x:v>
      </x:c>
      <x:c r="U21" s="66" t="n">
        <x:v>0</x:v>
      </x:c>
      <x:c r="V21" s="57" t="str"/>
      <x:c r="W21" s="57" t="str"/>
      <x:c r="X21" s="57" t="str"/>
      <x:c r="Y21" s="57" t="str">
        <x:v>https://www.crossfit.com/essentials/movements</x:v>
      </x:c>
      <x:c r="Z21" s="57" t="str"/>
    </x:row>
    <x:row r="22" ht="46" customHeight="1">
      <x:c r="A22" s="57" t="str">
        <x:v>EX018</x:v>
      </x:c>
      <x:c r="B22" s="57" t="str">
        <x:v>덤벨 벤치프레스</x:v>
      </x:c>
      <x:c r="C22" s="57" t="str">
        <x:v>Dumbbell Bench Press</x:v>
      </x:c>
      <x:c r="D22" s="57" t="str">
        <x:v>웨이트리프팅</x:v>
      </x:c>
      <x:c r="E22" s="57" t="str">
        <x:v>수평 밀기</x:v>
      </x:c>
      <x:c r="F22" s="57" t="str">
        <x:v>수평 밀기</x:v>
      </x:c>
      <x:c r="G22" s="57" t="str">
        <x:v>보조근력</x:v>
      </x:c>
      <x:c r="H22" s="57" t="str">
        <x:v>벤치/덤벨</x:v>
      </x:c>
      <x:c r="I22" s="66" t="n">
        <x:v>1</x:v>
      </x:c>
      <x:c r="J22" s="66" t="n">
        <x:v>1</x:v>
      </x:c>
      <x:c r="K22" s="57" t="str">
        <x:v>낮음</x:v>
      </x:c>
      <x:c r="L22" s="57" t="str">
        <x:v>세트×회</x:v>
      </x:c>
      <x:c r="M22" s="57" t="str">
        <x:v>2~4×6~12</x:v>
      </x:c>
      <x:c r="N22" s="57" t="str">
        <x:v>중간</x:v>
      </x:c>
      <x:c r="O22" s="57" t="str">
        <x:v>푸시업</x:v>
      </x:c>
      <x:c r="P22" s="57" t="str">
        <x:v>편측 DB 벤치</x:v>
      </x:c>
      <x:c r="Q22" s="57" t="str">
        <x:v>어깨 통증</x:v>
      </x:c>
      <x:c r="R22" s="57" t="str">
        <x:v>S15</x:v>
      </x:c>
      <x:c r="S22" s="57" t="str">
        <x:v>https://www.crossfit.com/movements/</x:v>
      </x:c>
      <x:c r="T22" s="57" t="str">
        <x:v>N</x:v>
      </x:c>
      <x:c r="U22" s="66" t="n">
        <x:v>0</x:v>
      </x:c>
      <x:c r="V22" s="57" t="str"/>
      <x:c r="W22" s="57" t="str"/>
      <x:c r="X22" s="57" t="str"/>
      <x:c r="Y22" s="57" t="str">
        <x:v>https://www.crossfit.com/essentials/movements</x:v>
      </x:c>
      <x:c r="Z22" s="57" t="str"/>
    </x:row>
    <x:row r="23" ht="46" customHeight="1">
      <x:c r="A23" s="57" t="str">
        <x:v>EX019</x:v>
      </x:c>
      <x:c r="B23" s="57" t="str">
        <x:v>푸시업</x:v>
      </x:c>
      <x:c r="C23" s="57" t="str">
        <x:v>Push-up</x:v>
      </x:c>
      <x:c r="D23" s="57" t="str">
        <x:v>체조</x:v>
      </x:c>
      <x:c r="E23" s="57" t="str">
        <x:v>수평 밀기</x:v>
      </x:c>
      <x:c r="F23" s="57" t="str">
        <x:v>수평 밀기+몸통</x:v>
      </x:c>
      <x:c r="G23" s="57" t="str">
        <x:v>메트콘/근력</x:v>
      </x:c>
      <x:c r="H23" s="57" t="str">
        <x:v>없음</x:v>
      </x:c>
      <x:c r="I23" s="66" t="n">
        <x:v>1</x:v>
      </x:c>
      <x:c r="J23" s="66" t="n">
        <x:v>1</x:v>
      </x:c>
      <x:c r="K23" s="57" t="str">
        <x:v>낮음</x:v>
      </x:c>
      <x:c r="L23" s="57" t="str">
        <x:v>회</x:v>
      </x:c>
      <x:c r="M23" s="57" t="str">
        <x:v>3~5×5~20</x:v>
      </x:c>
      <x:c r="N23" s="57" t="str">
        <x:v>무부하</x:v>
      </x:c>
      <x:c r="O23" s="57" t="str">
        <x:v>인클라인 푸시업</x:v>
      </x:c>
      <x:c r="P23" s="57" t="str">
        <x:v>링/디피싯 푸시업</x:v>
      </x:c>
      <x:c r="Q23" s="57" t="str">
        <x:v>손목/어깨 통증</x:v>
      </x:c>
      <x:c r="R23" s="57" t="str">
        <x:v>S15</x:v>
      </x:c>
      <x:c r="S23" s="57" t="str">
        <x:v>https://www.crossfit.com/movements/</x:v>
      </x:c>
      <x:c r="T23" s="57" t="str">
        <x:v>N</x:v>
      </x:c>
      <x:c r="U23" s="66" t="n">
        <x:v>0</x:v>
      </x:c>
      <x:c r="V23" s="57" t="str"/>
      <x:c r="W23" s="57" t="str"/>
      <x:c r="X23" s="57" t="str"/>
      <x:c r="Y23" s="57" t="str">
        <x:v>https://www.crossfit.com/essentials/movements</x:v>
      </x:c>
      <x:c r="Z23" s="57" t="str"/>
    </x:row>
    <x:row r="24" ht="46" customHeight="1">
      <x:c r="A24" s="57" t="str">
        <x:v>EX020</x:v>
      </x:c>
      <x:c r="B24" s="57" t="str">
        <x:v>딥</x:v>
      </x:c>
      <x:c r="C24" s="57" t="str">
        <x:v>Dip</x:v>
      </x:c>
      <x:c r="D24" s="57" t="str">
        <x:v>체조</x:v>
      </x:c>
      <x:c r="E24" s="57" t="str">
        <x:v>수직 밀기</x:v>
      </x:c>
      <x:c r="F24" s="57" t="str">
        <x:v>수직 밀기</x:v>
      </x:c>
      <x:c r="G24" s="57" t="str">
        <x:v>근력/메트콘</x:v>
      </x:c>
      <x:c r="H24" s="57" t="str">
        <x:v>평행봉/링</x:v>
      </x:c>
      <x:c r="I24" s="66" t="n">
        <x:v>2</x:v>
      </x:c>
      <x:c r="J24" s="66" t="n">
        <x:v>3</x:v>
      </x:c>
      <x:c r="K24" s="57" t="str">
        <x:v>중간</x:v>
      </x:c>
      <x:c r="L24" s="57" t="str">
        <x:v>회</x:v>
      </x:c>
      <x:c r="M24" s="57" t="str">
        <x:v>3~5×3~12</x:v>
      </x:c>
      <x:c r="N24" s="57" t="str">
        <x:v>체중</x:v>
      </x:c>
      <x:c r="O24" s="57" t="str">
        <x:v>박스 딥/밴드 딥</x:v>
      </x:c>
      <x:c r="P24" s="57" t="str">
        <x:v>링/가중 딥</x:v>
      </x:c>
      <x:c r="Q24" s="57" t="str">
        <x:v>전방 어깨 통증</x:v>
      </x:c>
      <x:c r="R24" s="57" t="str">
        <x:v>S15</x:v>
      </x:c>
      <x:c r="S24" s="57" t="str">
        <x:v>https://www.crossfit.com/movements/</x:v>
      </x:c>
      <x:c r="T24" s="57" t="str">
        <x:v>N</x:v>
      </x:c>
      <x:c r="U24" s="66" t="n">
        <x:v>0</x:v>
      </x:c>
      <x:c r="V24" s="57" t="str"/>
      <x:c r="W24" s="57" t="str"/>
      <x:c r="X24" s="57" t="str"/>
      <x:c r="Y24" s="57" t="str">
        <x:v>https://www.crossfit.com/essentials/movements</x:v>
      </x:c>
      <x:c r="Z24" s="57" t="str"/>
    </x:row>
    <x:row r="25" ht="46" customHeight="1">
      <x:c r="A25" s="57" t="str">
        <x:v>EX021</x:v>
      </x:c>
      <x:c r="B25" s="57" t="str">
        <x:v>스트릭트 프레스</x:v>
      </x:c>
      <x:c r="C25" s="57" t="str">
        <x:v>Strict Press</x:v>
      </x:c>
      <x:c r="D25" s="57" t="str">
        <x:v>웨이트리프팅</x:v>
      </x:c>
      <x:c r="E25" s="57" t="str">
        <x:v>수직 밀기</x:v>
      </x:c>
      <x:c r="F25" s="57" t="str">
        <x:v>수직 밀기</x:v>
      </x:c>
      <x:c r="G25" s="57" t="str">
        <x:v>주근력</x:v>
      </x:c>
      <x:c r="H25" s="57" t="str">
        <x:v>바벨</x:v>
      </x:c>
      <x:c r="I25" s="66" t="n">
        <x:v>1</x:v>
      </x:c>
      <x:c r="J25" s="66" t="n">
        <x:v>2</x:v>
      </x:c>
      <x:c r="K25" s="57" t="str">
        <x:v>낮음</x:v>
      </x:c>
      <x:c r="L25" s="57" t="str">
        <x:v>세트×회</x:v>
      </x:c>
      <x:c r="M25" s="57" t="str">
        <x:v>3~5×3~8</x:v>
      </x:c>
      <x:c r="N25" s="57" t="str">
        <x:v>중간~무거움</x:v>
      </x:c>
      <x:c r="O25" s="57" t="str">
        <x:v>덤벨 프레스</x:v>
      </x:c>
      <x:c r="P25" s="57" t="str">
        <x:v>포즈/템포 프레스</x:v>
      </x:c>
      <x:c r="Q25" s="57" t="str">
        <x:v>어깨 통증</x:v>
      </x:c>
      <x:c r="R25" s="57" t="str">
        <x:v>S03</x:v>
      </x:c>
      <x:c r="S25" s="57" t="str">
        <x:v>https://stronglifts.com/stronglifts-5x5/workout-program/</x:v>
      </x:c>
      <x:c r="T25" s="57" t="str">
        <x:v>N</x:v>
      </x:c>
      <x:c r="U25" s="66" t="n">
        <x:v>0</x:v>
      </x:c>
      <x:c r="V25" s="57" t="str"/>
      <x:c r="W25" s="57" t="str"/>
      <x:c r="X25" s="57" t="str"/>
      <x:c r="Y25" s="57" t="str">
        <x:v>https://www.crossfit.com/essentials/movements</x:v>
      </x:c>
      <x:c r="Z25" s="57" t="str">
        <x:v>https://www.youtube.com/watch?v=xe19t2_6yis</x:v>
      </x:c>
    </x:row>
    <x:row r="26" ht="46" customHeight="1">
      <x:c r="A26" s="57" t="str">
        <x:v>EX022</x:v>
      </x:c>
      <x:c r="B26" s="57" t="str">
        <x:v>푸시프레스</x:v>
      </x:c>
      <x:c r="C26" s="57" t="str">
        <x:v>Push Press</x:v>
      </x:c>
      <x:c r="D26" s="57" t="str">
        <x:v>웨이트리프팅</x:v>
      </x:c>
      <x:c r="E26" s="57" t="str">
        <x:v>오버헤드</x:v>
      </x:c>
      <x:c r="F26" s="57" t="str">
        <x:v>스쿼트 딥+수직 밀기</x:v>
      </x:c>
      <x:c r="G26" s="57" t="str">
        <x:v>파워/근력</x:v>
      </x:c>
      <x:c r="H26" s="57" t="str">
        <x:v>바벨</x:v>
      </x:c>
      <x:c r="I26" s="66" t="n">
        <x:v>1</x:v>
      </x:c>
      <x:c r="J26" s="66" t="n">
        <x:v>2</x:v>
      </x:c>
      <x:c r="K26" s="57" t="str">
        <x:v>중간</x:v>
      </x:c>
      <x:c r="L26" s="57" t="str">
        <x:v>세트×회</x:v>
      </x:c>
      <x:c r="M26" s="57" t="str">
        <x:v>3~6×2~6</x:v>
      </x:c>
      <x:c r="N26" s="57" t="str">
        <x:v>중간~무거움</x:v>
      </x:c>
      <x:c r="O26" s="57" t="str">
        <x:v>스트릭트 프레스</x:v>
      </x:c>
      <x:c r="P26" s="57" t="str">
        <x:v>헤비 푸시프레스</x:v>
      </x:c>
      <x:c r="Q26" s="57" t="str">
        <x:v>어깨/손목 통증</x:v>
      </x:c>
      <x:c r="R26" s="57" t="str">
        <x:v>S14</x:v>
      </x:c>
      <x:c r="S26" s="57" t="str">
        <x:v>https://www.catalystathletics.com/exercises/</x:v>
      </x:c>
      <x:c r="T26" s="57" t="str">
        <x:v>N</x:v>
      </x:c>
      <x:c r="U26" s="66" t="n">
        <x:v>0</x:v>
      </x:c>
      <x:c r="V26" s="57" t="str"/>
      <x:c r="W26" s="57" t="str"/>
      <x:c r="X26" s="57" t="str"/>
      <x:c r="Y26" s="57" t="str">
        <x:v>https://www.crossfit.com/essentials/movements</x:v>
      </x:c>
      <x:c r="Z26" s="57" t="str">
        <x:v>https://www.youtube.com/watch?v=iaBVSJm78ko</x:v>
      </x:c>
    </x:row>
    <x:row r="27" ht="46" customHeight="1">
      <x:c r="A27" s="57" t="str">
        <x:v>EX023</x:v>
      </x:c>
      <x:c r="B27" s="57" t="str">
        <x:v>덤벨 숄더프레스</x:v>
      </x:c>
      <x:c r="C27" s="57" t="str">
        <x:v>Dumbbell Shoulder Press</x:v>
      </x:c>
      <x:c r="D27" s="57" t="str">
        <x:v>웨이트리프팅</x:v>
      </x:c>
      <x:c r="E27" s="57" t="str">
        <x:v>수직 밀기</x:v>
      </x:c>
      <x:c r="F27" s="57" t="str">
        <x:v>수직 밀기</x:v>
      </x:c>
      <x:c r="G27" s="57" t="str">
        <x:v>보조/회귀</x:v>
      </x:c>
      <x:c r="H27" s="57" t="str">
        <x:v>덤벨</x:v>
      </x:c>
      <x:c r="I27" s="66" t="n">
        <x:v>1</x:v>
      </x:c>
      <x:c r="J27" s="66" t="n">
        <x:v>1</x:v>
      </x:c>
      <x:c r="K27" s="57" t="str">
        <x:v>낮음</x:v>
      </x:c>
      <x:c r="L27" s="57" t="str">
        <x:v>세트×회</x:v>
      </x:c>
      <x:c r="M27" s="57" t="str">
        <x:v>2~4×6~12</x:v>
      </x:c>
      <x:c r="N27" s="57" t="str">
        <x:v>중간</x:v>
      </x:c>
      <x:c r="O27" s="57" t="str">
        <x:v>싱글암 가벼운 프레스</x:v>
      </x:c>
      <x:c r="P27" s="57" t="str">
        <x:v>아놀드/편측 프레스</x:v>
      </x:c>
      <x:c r="Q27" s="57" t="str">
        <x:v>어깨 통증</x:v>
      </x:c>
      <x:c r="R27" s="57" t="str">
        <x:v>S15</x:v>
      </x:c>
      <x:c r="S27" s="57" t="str">
        <x:v>https://www.crossfit.com/movements/</x:v>
      </x:c>
      <x:c r="T27" s="57" t="str">
        <x:v>N</x:v>
      </x:c>
      <x:c r="U27" s="66" t="n">
        <x:v>0</x:v>
      </x:c>
      <x:c r="V27" s="57" t="str"/>
      <x:c r="W27" s="57" t="str"/>
      <x:c r="X27" s="57" t="str"/>
      <x:c r="Y27" s="57" t="str">
        <x:v>https://www.crossfit.com/essentials/movements</x:v>
      </x:c>
      <x:c r="Z27" s="57" t="str"/>
    </x:row>
    <x:row r="28" ht="46" customHeight="1">
      <x:c r="A28" s="57" t="str">
        <x:v>EX024</x:v>
      </x:c>
      <x:c r="B28" s="57" t="str">
        <x:v>바벨 로우</x:v>
      </x:c>
      <x:c r="C28" s="57" t="str">
        <x:v>Barbell Row</x:v>
      </x:c>
      <x:c r="D28" s="57" t="str">
        <x:v>웨이트리프팅</x:v>
      </x:c>
      <x:c r="E28" s="57" t="str">
        <x:v>수평 당기기</x:v>
      </x:c>
      <x:c r="F28" s="57" t="str">
        <x:v>수평 당기기+힌지</x:v>
      </x:c>
      <x:c r="G28" s="57" t="str">
        <x:v>주/보조근력</x:v>
      </x:c>
      <x:c r="H28" s="57" t="str">
        <x:v>바벨</x:v>
      </x:c>
      <x:c r="I28" s="66" t="n">
        <x:v>1</x:v>
      </x:c>
      <x:c r="J28" s="66" t="n">
        <x:v>2</x:v>
      </x:c>
      <x:c r="K28" s="57" t="str">
        <x:v>낮음</x:v>
      </x:c>
      <x:c r="L28" s="57" t="str">
        <x:v>세트×회</x:v>
      </x:c>
      <x:c r="M28" s="57" t="str">
        <x:v>3~5×5~10</x:v>
      </x:c>
      <x:c r="N28" s="57" t="str">
        <x:v>중간</x:v>
      </x:c>
      <x:c r="O28" s="57" t="str">
        <x:v>링 로우</x:v>
      </x:c>
      <x:c r="P28" s="57" t="str">
        <x:v>펜들레이 로우</x:v>
      </x:c>
      <x:c r="Q28" s="57" t="str">
        <x:v>급성 요통</x:v>
      </x:c>
      <x:c r="R28" s="57" t="str">
        <x:v>S03</x:v>
      </x:c>
      <x:c r="S28" s="57" t="str">
        <x:v>https://stronglifts.com/stronglifts-5x5/workout-program/</x:v>
      </x:c>
      <x:c r="T28" s="57" t="str">
        <x:v>N</x:v>
      </x:c>
      <x:c r="U28" s="66" t="n">
        <x:v>0</x:v>
      </x:c>
      <x:c r="V28" s="57" t="str"/>
      <x:c r="W28" s="57" t="str"/>
      <x:c r="X28" s="57" t="str"/>
      <x:c r="Y28" s="57" t="str">
        <x:v>https://www.crossfit.com/essentials/movements</x:v>
      </x:c>
      <x:c r="Z28" s="57" t="str"/>
    </x:row>
    <x:row r="29" ht="46" customHeight="1">
      <x:c r="A29" s="57" t="str">
        <x:v>EX025</x:v>
      </x:c>
      <x:c r="B29" s="57" t="str">
        <x:v>링 로우</x:v>
      </x:c>
      <x:c r="C29" s="57" t="str">
        <x:v>Ring Row</x:v>
      </x:c>
      <x:c r="D29" s="57" t="str">
        <x:v>체조</x:v>
      </x:c>
      <x:c r="E29" s="57" t="str">
        <x:v>수평 당기기</x:v>
      </x:c>
      <x:c r="F29" s="57" t="str">
        <x:v>수평 당기기+몸통</x:v>
      </x:c>
      <x:c r="G29" s="57" t="str">
        <x:v>근력/메트콘</x:v>
      </x:c>
      <x:c r="H29" s="57" t="str">
        <x:v>링</x:v>
      </x:c>
      <x:c r="I29" s="66" t="n">
        <x:v>1</x:v>
      </x:c>
      <x:c r="J29" s="66" t="n">
        <x:v>1</x:v>
      </x:c>
      <x:c r="K29" s="57" t="str">
        <x:v>낮음</x:v>
      </x:c>
      <x:c r="L29" s="57" t="str">
        <x:v>회</x:v>
      </x:c>
      <x:c r="M29" s="57" t="str">
        <x:v>3~5×6~15</x:v>
      </x:c>
      <x:c r="N29" s="57" t="str">
        <x:v>체중</x:v>
      </x:c>
      <x:c r="O29" s="57" t="str">
        <x:v>수직 각도 높임</x:v>
      </x:c>
      <x:c r="P29" s="57" t="str">
        <x:v>발 상승 링 로우</x:v>
      </x:c>
      <x:c r="Q29" s="57" t="str">
        <x:v>어깨/팔꿈치 통증</x:v>
      </x:c>
      <x:c r="R29" s="57" t="str">
        <x:v>S15</x:v>
      </x:c>
      <x:c r="S29" s="57" t="str">
        <x:v>https://www.crossfit.com/movements/</x:v>
      </x:c>
      <x:c r="T29" s="57" t="str">
        <x:v>N</x:v>
      </x:c>
      <x:c r="U29" s="66" t="n">
        <x:v>0</x:v>
      </x:c>
      <x:c r="V29" s="57" t="str"/>
      <x:c r="W29" s="57" t="str"/>
      <x:c r="X29" s="57" t="str"/>
      <x:c r="Y29" s="57" t="str">
        <x:v>https://www.crossfit.com/essentials/movements</x:v>
      </x:c>
      <x:c r="Z29" s="57" t="str"/>
    </x:row>
    <x:row r="30" ht="46" customHeight="1">
      <x:c r="A30" s="57" t="str">
        <x:v>EX026</x:v>
      </x:c>
      <x:c r="B30" s="57" t="str">
        <x:v>스트릭트 풀업</x:v>
      </x:c>
      <x:c r="C30" s="57" t="str">
        <x:v>Strict Pull-up</x:v>
      </x:c>
      <x:c r="D30" s="57" t="str">
        <x:v>체조</x:v>
      </x:c>
      <x:c r="E30" s="57" t="str">
        <x:v>수직 당기기</x:v>
      </x:c>
      <x:c r="F30" s="57" t="str">
        <x:v>수직 당기기</x:v>
      </x:c>
      <x:c r="G30" s="57" t="str">
        <x:v>근력/기술</x:v>
      </x:c>
      <x:c r="H30" s="57" t="str">
        <x:v>바</x:v>
      </x:c>
      <x:c r="I30" s="66" t="n">
        <x:v>1</x:v>
      </x:c>
      <x:c r="J30" s="66" t="n">
        <x:v>3</x:v>
      </x:c>
      <x:c r="K30" s="57" t="str">
        <x:v>낮음</x:v>
      </x:c>
      <x:c r="L30" s="57" t="str">
        <x:v>품질회</x:v>
      </x:c>
      <x:c r="M30" s="57" t="str">
        <x:v>4~8×1~6</x:v>
      </x:c>
      <x:c r="N30" s="57" t="str">
        <x:v>체중</x:v>
      </x:c>
      <x:c r="O30" s="57" t="str">
        <x:v>밴드 풀업/링 로우</x:v>
      </x:c>
      <x:c r="P30" s="57" t="str">
        <x:v>가중 풀업</x:v>
      </x:c>
      <x:c r="Q30" s="57" t="str">
        <x:v>어깨/팔꿈치 통증</x:v>
      </x:c>
      <x:c r="R30" s="57" t="str">
        <x:v>S15</x:v>
      </x:c>
      <x:c r="S30" s="57" t="str">
        <x:v>https://www.crossfit.com/movements/</x:v>
      </x:c>
      <x:c r="T30" s="57" t="str">
        <x:v>N</x:v>
      </x:c>
      <x:c r="U30" s="66" t="n">
        <x:v>0</x:v>
      </x:c>
      <x:c r="V30" s="57" t="str"/>
      <x:c r="W30" s="57" t="str"/>
      <x:c r="X30" s="57" t="str"/>
      <x:c r="Y30" s="57" t="str">
        <x:v>https://www.crossfit.com/essentials/movements</x:v>
      </x:c>
      <x:c r="Z30" s="57" t="str"/>
    </x:row>
    <x:row r="31" ht="46" customHeight="1">
      <x:c r="A31" s="57" t="str">
        <x:v>EX027</x:v>
      </x:c>
      <x:c r="B31" s="57" t="str">
        <x:v>키핑 풀업</x:v>
      </x:c>
      <x:c r="C31" s="57" t="str">
        <x:v>Kipping Pull-up</x:v>
      </x:c>
      <x:c r="D31" s="57" t="str">
        <x:v>체조</x:v>
      </x:c>
      <x:c r="E31" s="57" t="str">
        <x:v>수직 당기기</x:v>
      </x:c>
      <x:c r="F31" s="57" t="str">
        <x:v>수직 당기기+키핑</x:v>
      </x:c>
      <x:c r="G31" s="57" t="str">
        <x:v>기술/메트콘</x:v>
      </x:c>
      <x:c r="H31" s="57" t="str">
        <x:v>바</x:v>
      </x:c>
      <x:c r="I31" s="66" t="n">
        <x:v>2</x:v>
      </x:c>
      <x:c r="J31" s="66" t="n">
        <x:v>3</x:v>
      </x:c>
      <x:c r="K31" s="57" t="str">
        <x:v>중간</x:v>
      </x:c>
      <x:c r="L31" s="57" t="str">
        <x:v>회</x:v>
      </x:c>
      <x:c r="M31" s="57" t="str">
        <x:v>세트당 3~15</x:v>
      </x:c>
      <x:c r="N31" s="57" t="str">
        <x:v>체중</x:v>
      </x:c>
      <x:c r="O31" s="57" t="str">
        <x:v>스트릭트/밴드 풀업</x:v>
      </x:c>
      <x:c r="P31" s="57" t="str">
        <x:v>체스트투바</x:v>
      </x:c>
      <x:c r="Q31" s="57" t="str">
        <x:v>어깨 불안정/스트릭트 기반 없음</x:v>
      </x:c>
      <x:c r="R31" s="57" t="str">
        <x:v>S15</x:v>
      </x:c>
      <x:c r="S31" s="57" t="str">
        <x:v>https://www.crossfit.com/movements/</x:v>
      </x:c>
      <x:c r="T31" s="57" t="str">
        <x:v>Y</x:v>
      </x:c>
      <x:c r="U31" s="66" t="n">
        <x:v>3</x:v>
      </x:c>
      <x:c r="V31" s="57" t="str">
        <x:v>2022, 2025, 2026</x:v>
      </x:c>
      <x:c r="W31" s="57" t="str">
        <x:v>22.3, 25.2, 26.2</x:v>
      </x:c>
      <x:c r="X31" s="57" t="n">
        <x:v>2026</x:v>
      </x:c>
      <x:c r="Y31" s="57" t="str">
        <x:v>https://www.crossfit.com/essentials/movements</x:v>
      </x:c>
      <x:c r="Z31" s="57" t="str">
        <x:v>https://www.youtube.com/watch?v=aAggnpPyR6E</x:v>
      </x:c>
    </x:row>
    <x:row r="32" ht="46" customHeight="1">
      <x:c r="A32" s="57" t="str">
        <x:v>EX028</x:v>
      </x:c>
      <x:c r="B32" s="57" t="str">
        <x:v>체스트투바 풀업</x:v>
      </x:c>
      <x:c r="C32" s="57" t="str">
        <x:v>Chest-to-bar Pull-up</x:v>
      </x:c>
      <x:c r="D32" s="57" t="str">
        <x:v>체조</x:v>
      </x:c>
      <x:c r="E32" s="57" t="str">
        <x:v>수직 당기기</x:v>
      </x:c>
      <x:c r="F32" s="57" t="str">
        <x:v>수직 당기기+키핑</x:v>
      </x:c>
      <x:c r="G32" s="57" t="str">
        <x:v>기술/메트콘</x:v>
      </x:c>
      <x:c r="H32" s="57" t="str">
        <x:v>바</x:v>
      </x:c>
      <x:c r="I32" s="66" t="n">
        <x:v>2</x:v>
      </x:c>
      <x:c r="J32" s="66" t="n">
        <x:v>4</x:v>
      </x:c>
      <x:c r="K32" s="57" t="str">
        <x:v>중간</x:v>
      </x:c>
      <x:c r="L32" s="57" t="str">
        <x:v>회</x:v>
      </x:c>
      <x:c r="M32" s="57" t="str">
        <x:v>세트당 2~10</x:v>
      </x:c>
      <x:c r="N32" s="57" t="str">
        <x:v>체중</x:v>
      </x:c>
      <x:c r="O32" s="57" t="str">
        <x:v>풀업</x:v>
      </x:c>
      <x:c r="P32" s="57" t="str">
        <x:v>바 머슬업</x:v>
      </x:c>
      <x:c r="Q32" s="57" t="str">
        <x:v>어깨/팔꿈치 통증</x:v>
      </x:c>
      <x:c r="R32" s="57" t="str">
        <x:v>S15</x:v>
      </x:c>
      <x:c r="S32" s="57" t="str">
        <x:v>https://www.crossfit.com/movements/</x:v>
      </x:c>
      <x:c r="T32" s="57" t="str">
        <x:v>Y</x:v>
      </x:c>
      <x:c r="U32" s="66" t="n">
        <x:v>8</x:v>
      </x:c>
      <x:c r="V32" s="57" t="str">
        <x:v>2017, 2018, 2019, 2021, 2022, 2024, 2025, 2026</x:v>
      </x:c>
      <x:c r="W32" s="57" t="str">
        <x:v>17.3, 18.5, 19.5, 21.3, 22.3, 24.3, 25.2, 26.2</x:v>
      </x:c>
      <x:c r="X32" s="57" t="n">
        <x:v>2026</x:v>
      </x:c>
      <x:c r="Y32" s="57" t="str">
        <x:v>https://www.crossfit.com/essentials/movements</x:v>
      </x:c>
      <x:c r="Z32" s="57" t="str">
        <x:v>https://www.youtube.com/watch?v=p9Stan68FYM</x:v>
      </x:c>
    </x:row>
    <x:row r="33" ht="46" customHeight="1">
      <x:c r="A33" s="57" t="str">
        <x:v>EX029</x:v>
      </x:c>
      <x:c r="B33" s="57" t="str">
        <x:v>로프 클라임</x:v>
      </x:c>
      <x:c r="C33" s="57" t="str">
        <x:v>Rope Climb</x:v>
      </x:c>
      <x:c r="D33" s="57" t="str">
        <x:v>체조</x:v>
      </x:c>
      <x:c r="E33" s="57" t="str">
        <x:v>수직 당기기</x:v>
      </x:c>
      <x:c r="F33" s="57" t="str">
        <x:v>수직 당기기+그립</x:v>
      </x:c>
      <x:c r="G33" s="57" t="str">
        <x:v>기술/메트콘</x:v>
      </x:c>
      <x:c r="H33" s="57" t="str">
        <x:v>로프</x:v>
      </x:c>
      <x:c r="I33" s="66" t="n">
        <x:v>2</x:v>
      </x:c>
      <x:c r="J33" s="66" t="n">
        <x:v>4</x:v>
      </x:c>
      <x:c r="K33" s="57" t="str">
        <x:v>중간</x:v>
      </x:c>
      <x:c r="L33" s="57" t="str">
        <x:v>상승회/m</x:v>
      </x:c>
      <x:c r="M33" s="57" t="str">
        <x:v>2~8회</x:v>
      </x:c>
      <x:c r="N33" s="57" t="str">
        <x:v>체중</x:v>
      </x:c>
      <x:c r="O33" s="57" t="str">
        <x:v>풋록/시티드 로프 풀</x:v>
      </x:c>
      <x:c r="P33" s="57" t="str">
        <x:v>레그리스 클라임</x:v>
      </x:c>
      <x:c r="Q33" s="57" t="str">
        <x:v>그립/어깨 통증; 하강 미숙</x:v>
      </x:c>
      <x:c r="R33" s="57" t="str">
        <x:v>S15</x:v>
      </x:c>
      <x:c r="S33" s="57" t="str">
        <x:v>https://www.crossfit.com/movements/</x:v>
      </x:c>
      <x:c r="T33" s="57" t="str">
        <x:v>N</x:v>
      </x:c>
      <x:c r="U33" s="66" t="n">
        <x:v>0</x:v>
      </x:c>
      <x:c r="V33" s="57" t="str"/>
      <x:c r="W33" s="57" t="str"/>
      <x:c r="X33" s="57" t="str"/>
      <x:c r="Y33" s="57" t="str">
        <x:v>https://www.crossfit.com/essentials/movements</x:v>
      </x:c>
      <x:c r="Z33" s="57" t="str"/>
    </x:row>
    <x:row r="34" ht="46" customHeight="1">
      <x:c r="A34" s="57" t="str">
        <x:v>EX030</x:v>
      </x:c>
      <x:c r="B34" s="57" t="str">
        <x:v>스내치</x:v>
      </x:c>
      <x:c r="C34" s="57" t="str">
        <x:v>Snatch</x:v>
      </x:c>
      <x:c r="D34" s="57" t="str">
        <x:v>웨이트리프팅</x:v>
      </x:c>
      <x:c r="E34" s="57" t="str">
        <x:v>올림픽-스내치</x:v>
      </x:c>
      <x:c r="F34" s="57" t="str">
        <x:v>폭발 당김+오버헤드 스쿼트</x:v>
      </x:c>
      <x:c r="G34" s="57" t="str">
        <x:v>기술/파워</x:v>
      </x:c>
      <x:c r="H34" s="57" t="str">
        <x:v>바벨/플랫폼</x:v>
      </x:c>
      <x:c r="I34" s="66" t="n">
        <x:v>2</x:v>
      </x:c>
      <x:c r="J34" s="66" t="n">
        <x:v>5</x:v>
      </x:c>
      <x:c r="K34" s="57" t="str">
        <x:v>중간</x:v>
      </x:c>
      <x:c r="L34" s="57" t="str">
        <x:v>품질회</x:v>
      </x:c>
      <x:c r="M34" s="57" t="str">
        <x:v>5~10×1~3</x:v>
      </x:c>
      <x:c r="N34" s="57" t="str">
        <x:v>가벼움~무거움</x:v>
      </x:c>
      <x:c r="O34" s="57" t="str">
        <x:v>행 파워 스내치/PVC</x:v>
      </x:c>
      <x:c r="P34" s="57" t="str">
        <x:v>블록/디피싯/복합 스내치</x:v>
      </x:c>
      <x:c r="Q34" s="57" t="str">
        <x:v>감독 없음/어깨·손목 통증</x:v>
      </x:c>
      <x:c r="R34" s="57" t="str">
        <x:v>S14</x:v>
      </x:c>
      <x:c r="S34" s="57" t="str">
        <x:v>https://www.catalystathletics.com/exercises/</x:v>
      </x:c>
      <x:c r="T34" s="57" t="str">
        <x:v>Y</x:v>
      </x:c>
      <x:c r="U34" s="66" t="n">
        <x:v>4</x:v>
      </x:c>
      <x:c r="V34" s="57" t="str">
        <x:v>2017, 2019, 2023, 2025</x:v>
      </x:c>
      <x:c r="W34" s="57" t="str">
        <x:v>19.4, 23.3, 25.3, 17.3</x:v>
      </x:c>
      <x:c r="X34" s="57" t="n">
        <x:v>2025</x:v>
      </x:c>
      <x:c r="Y34" s="57" t="str">
        <x:v>https://www.crossfit.com/essentials/movements</x:v>
      </x:c>
      <x:c r="Z34" s="57" t="str"/>
    </x:row>
    <x:row r="35" ht="46" customHeight="1">
      <x:c r="A35" s="57" t="str">
        <x:v>EX031</x:v>
      </x:c>
      <x:c r="B35" s="57" t="str">
        <x:v>파워 스내치</x:v>
      </x:c>
      <x:c r="C35" s="57" t="str">
        <x:v>Power Snatch</x:v>
      </x:c>
      <x:c r="D35" s="57" t="str">
        <x:v>웨이트리프팅</x:v>
      </x:c>
      <x:c r="E35" s="57" t="str">
        <x:v>올림픽-스내치</x:v>
      </x:c>
      <x:c r="F35" s="57" t="str">
        <x:v>폭발 당김+오버헤드</x:v>
      </x:c>
      <x:c r="G35" s="57" t="str">
        <x:v>기술/메트콘</x:v>
      </x:c>
      <x:c r="H35" s="57" t="str">
        <x:v>바벨</x:v>
      </x:c>
      <x:c r="I35" s="66" t="n">
        <x:v>1</x:v>
      </x:c>
      <x:c r="J35" s="66" t="n">
        <x:v>4</x:v>
      </x:c>
      <x:c r="K35" s="57" t="str">
        <x:v>중간</x:v>
      </x:c>
      <x:c r="L35" s="57" t="str">
        <x:v>품질회</x:v>
      </x:c>
      <x:c r="M35" s="57" t="str">
        <x:v>4~8×1~3</x:v>
      </x:c>
      <x:c r="N35" s="57" t="str">
        <x:v>가벼움~중간</x:v>
      </x:c>
      <x:c r="O35" s="57" t="str">
        <x:v>행 머슬 스내치</x:v>
      </x:c>
      <x:c r="P35" s="57" t="str">
        <x:v>풀 스내치</x:v>
      </x:c>
      <x:c r="Q35" s="57" t="str">
        <x:v>어깨/손목 통증</x:v>
      </x:c>
      <x:c r="R35" s="57" t="str">
        <x:v>S14</x:v>
      </x:c>
      <x:c r="S35" s="57" t="str">
        <x:v>https://www.catalystathletics.com/exercises/</x:v>
      </x:c>
      <x:c r="T35" s="57" t="str">
        <x:v>N</x:v>
      </x:c>
      <x:c r="U35" s="66" t="n">
        <x:v>0</x:v>
      </x:c>
      <x:c r="V35" s="57" t="str"/>
      <x:c r="W35" s="57" t="str"/>
      <x:c r="X35" s="57" t="str"/>
      <x:c r="Y35" s="57" t="str">
        <x:v>https://www.crossfit.com/essentials/movements</x:v>
      </x:c>
      <x:c r="Z35" s="57" t="str"/>
    </x:row>
    <x:row r="36" ht="46" customHeight="1">
      <x:c r="A36" s="57" t="str">
        <x:v>EX032</x:v>
      </x:c>
      <x:c r="B36" s="57" t="str">
        <x:v>행 파워 스내치</x:v>
      </x:c>
      <x:c r="C36" s="57" t="str">
        <x:v>Hang Power Snatch</x:v>
      </x:c>
      <x:c r="D36" s="57" t="str">
        <x:v>웨이트리프팅</x:v>
      </x:c>
      <x:c r="E36" s="57" t="str">
        <x:v>올림픽-스내치</x:v>
      </x:c>
      <x:c r="F36" s="57" t="str">
        <x:v>힌지+폭발 오버헤드</x:v>
      </x:c>
      <x:c r="G36" s="57" t="str">
        <x:v>기술/메트콘</x:v>
      </x:c>
      <x:c r="H36" s="57" t="str">
        <x:v>바벨</x:v>
      </x:c>
      <x:c r="I36" s="66" t="n">
        <x:v>1</x:v>
      </x:c>
      <x:c r="J36" s="66" t="n">
        <x:v>3</x:v>
      </x:c>
      <x:c r="K36" s="57" t="str">
        <x:v>중간</x:v>
      </x:c>
      <x:c r="L36" s="57" t="str">
        <x:v>품질회</x:v>
      </x:c>
      <x:c r="M36" s="57" t="str">
        <x:v>4~8×2~4</x:v>
      </x:c>
      <x:c r="N36" s="57" t="str">
        <x:v>가벼움~중간</x:v>
      </x:c>
      <x:c r="O36" s="57" t="str">
        <x:v>머슬 스내치</x:v>
      </x:c>
      <x:c r="P36" s="57" t="str">
        <x:v>파워 스내치 바닥</x:v>
      </x:c>
      <x:c r="Q36" s="57" t="str">
        <x:v>어깨/손목 통증</x:v>
      </x:c>
      <x:c r="R36" s="57" t="str">
        <x:v>S14</x:v>
      </x:c>
      <x:c r="S36" s="57" t="str">
        <x:v>https://www.catalystathletics.com/exercises/</x:v>
      </x:c>
      <x:c r="T36" s="57" t="str">
        <x:v>N</x:v>
      </x:c>
      <x:c r="U36" s="66" t="n">
        <x:v>0</x:v>
      </x:c>
      <x:c r="V36" s="57" t="str"/>
      <x:c r="W36" s="57" t="str"/>
      <x:c r="X36" s="57" t="str"/>
      <x:c r="Y36" s="57" t="str">
        <x:v>https://www.crossfit.com/essentials/movements</x:v>
      </x:c>
      <x:c r="Z36" s="57" t="str"/>
    </x:row>
    <x:row r="37" ht="46" customHeight="1">
      <x:c r="A37" s="57" t="str">
        <x:v>EX033</x:v>
      </x:c>
      <x:c r="B37" s="57" t="str">
        <x:v>머슬 스내치</x:v>
      </x:c>
      <x:c r="C37" s="57" t="str">
        <x:v>Muscle Snatch</x:v>
      </x:c>
      <x:c r="D37" s="57" t="str">
        <x:v>웨이트리프팅</x:v>
      </x:c>
      <x:c r="E37" s="57" t="str">
        <x:v>올림픽-스내치</x:v>
      </x:c>
      <x:c r="F37" s="57" t="str">
        <x:v>폭발 당김+수직 밀기</x:v>
      </x:c>
      <x:c r="G37" s="57" t="str">
        <x:v>워밍업/기술</x:v>
      </x:c>
      <x:c r="H37" s="57" t="str">
        <x:v>PVC/바벨</x:v>
      </x:c>
      <x:c r="I37" s="66" t="n">
        <x:v>1</x:v>
      </x:c>
      <x:c r="J37" s="66" t="n">
        <x:v>2</x:v>
      </x:c>
      <x:c r="K37" s="57" t="str">
        <x:v>낮음</x:v>
      </x:c>
      <x:c r="L37" s="57" t="str">
        <x:v>품질회</x:v>
      </x:c>
      <x:c r="M37" s="57" t="str">
        <x:v>3~5×3~5</x:v>
      </x:c>
      <x:c r="N37" s="57" t="str">
        <x:v>가벼움</x:v>
      </x:c>
      <x:c r="O37" s="57" t="str">
        <x:v>PVC 머슬 스내치</x:v>
      </x:c>
      <x:c r="P37" s="57" t="str">
        <x:v>파워 스내치</x:v>
      </x:c>
      <x:c r="Q37" s="57" t="str">
        <x:v>어깨 통증</x:v>
      </x:c>
      <x:c r="R37" s="57" t="str">
        <x:v>S14</x:v>
      </x:c>
      <x:c r="S37" s="57" t="str">
        <x:v>https://www.catalystathletics.com/exercises/</x:v>
      </x:c>
      <x:c r="T37" s="57" t="str">
        <x:v>N</x:v>
      </x:c>
      <x:c r="U37" s="66" t="n">
        <x:v>0</x:v>
      </x:c>
      <x:c r="V37" s="57" t="str"/>
      <x:c r="W37" s="57" t="str"/>
      <x:c r="X37" s="57" t="str"/>
      <x:c r="Y37" s="57" t="str">
        <x:v>https://www.crossfit.com/essentials/movements</x:v>
      </x:c>
      <x:c r="Z37" s="57" t="str"/>
    </x:row>
    <x:row r="38" ht="46" customHeight="1">
      <x:c r="A38" s="57" t="str">
        <x:v>EX034</x:v>
      </x:c>
      <x:c r="B38" s="57" t="str">
        <x:v>톨 스내치</x:v>
      </x:c>
      <x:c r="C38" s="57" t="str">
        <x:v>Tall Snatch</x:v>
      </x:c>
      <x:c r="D38" s="57" t="str">
        <x:v>웨이트리프팅</x:v>
      </x:c>
      <x:c r="E38" s="57" t="str">
        <x:v>올림픽-스내치</x:v>
      </x:c>
      <x:c r="F38" s="57" t="str">
        <x:v>받기 속도</x:v>
      </x:c>
      <x:c r="G38" s="57" t="str">
        <x:v>기술</x:v>
      </x:c>
      <x:c r="H38" s="57" t="str">
        <x:v>바벨</x:v>
      </x:c>
      <x:c r="I38" s="66" t="n">
        <x:v>2</x:v>
      </x:c>
      <x:c r="J38" s="66" t="n">
        <x:v>4</x:v>
      </x:c>
      <x:c r="K38" s="57" t="str">
        <x:v>낮음</x:v>
      </x:c>
      <x:c r="L38" s="57" t="str">
        <x:v>품질회</x:v>
      </x:c>
      <x:c r="M38" s="57" t="str">
        <x:v>4~6×2~3</x:v>
      </x:c>
      <x:c r="N38" s="57" t="str">
        <x:v>가벼움</x:v>
      </x:c>
      <x:c r="O38" s="57" t="str">
        <x:v>드롭 스내치 PVC</x:v>
      </x:c>
      <x:c r="P38" s="57" t="str">
        <x:v>하이행 스내치</x:v>
      </x:c>
      <x:c r="Q38" s="57" t="str">
        <x:v>오버헤드 불안정</x:v>
      </x:c>
      <x:c r="R38" s="57" t="str">
        <x:v>S14</x:v>
      </x:c>
      <x:c r="S38" s="57" t="str">
        <x:v>https://www.catalystathletics.com/exercises/</x:v>
      </x:c>
      <x:c r="T38" s="57" t="str">
        <x:v>N</x:v>
      </x:c>
      <x:c r="U38" s="66" t="n">
        <x:v>0</x:v>
      </x:c>
      <x:c r="V38" s="57" t="str"/>
      <x:c r="W38" s="57" t="str"/>
      <x:c r="X38" s="57" t="str"/>
      <x:c r="Y38" s="57" t="str">
        <x:v>https://www.crossfit.com/essentials/movements</x:v>
      </x:c>
      <x:c r="Z38" s="57" t="str"/>
    </x:row>
    <x:row r="39" ht="46" customHeight="1">
      <x:c r="A39" s="57" t="str">
        <x:v>EX035</x:v>
      </x:c>
      <x:c r="B39" s="57" t="str">
        <x:v>스내치 밸런스</x:v>
      </x:c>
      <x:c r="C39" s="57" t="str">
        <x:v>Snatch Balance</x:v>
      </x:c>
      <x:c r="D39" s="57" t="str">
        <x:v>웨이트리프팅</x:v>
      </x:c>
      <x:c r="E39" s="57" t="str">
        <x:v>올림픽-스내치</x:v>
      </x:c>
      <x:c r="F39" s="57" t="str">
        <x:v>오버헤드 스쿼트+받기</x:v>
      </x:c>
      <x:c r="G39" s="57" t="str">
        <x:v>기술/파워</x:v>
      </x:c>
      <x:c r="H39" s="57" t="str">
        <x:v>바벨/랙</x:v>
      </x:c>
      <x:c r="I39" s="66" t="n">
        <x:v>2</x:v>
      </x:c>
      <x:c r="J39" s="66" t="n">
        <x:v>4</x:v>
      </x:c>
      <x:c r="K39" s="57" t="str">
        <x:v>중간</x:v>
      </x:c>
      <x:c r="L39" s="57" t="str">
        <x:v>품질회</x:v>
      </x:c>
      <x:c r="M39" s="57" t="str">
        <x:v>4~7×1~3</x:v>
      </x:c>
      <x:c r="N39" s="57" t="str">
        <x:v>가벼움~중간</x:v>
      </x:c>
      <x:c r="O39" s="57" t="str">
        <x:v>드롭 스내치</x:v>
      </x:c>
      <x:c r="P39" s="57" t="str">
        <x:v>헤비 스내치 밸런스</x:v>
      </x:c>
      <x:c r="Q39" s="57" t="str">
        <x:v>어깨/무릎 통증</x:v>
      </x:c>
      <x:c r="R39" s="57" t="str">
        <x:v>S14</x:v>
      </x:c>
      <x:c r="S39" s="57" t="str">
        <x:v>https://www.catalystathletics.com/exercises/</x:v>
      </x:c>
      <x:c r="T39" s="57" t="str">
        <x:v>N</x:v>
      </x:c>
      <x:c r="U39" s="66" t="n">
        <x:v>0</x:v>
      </x:c>
      <x:c r="V39" s="57" t="str"/>
      <x:c r="W39" s="57" t="str"/>
      <x:c r="X39" s="57" t="str"/>
      <x:c r="Y39" s="57" t="str">
        <x:v>https://www.crossfit.com/essentials/movements</x:v>
      </x:c>
      <x:c r="Z39" s="57" t="str"/>
    </x:row>
    <x:row r="40" ht="46" customHeight="1">
      <x:c r="A40" s="57" t="str">
        <x:v>EX036</x:v>
      </x:c>
      <x:c r="B40" s="57" t="str">
        <x:v>스내치 풀</x:v>
      </x:c>
      <x:c r="C40" s="57" t="str">
        <x:v>Snatch Pull</x:v>
      </x:c>
      <x:c r="D40" s="57" t="str">
        <x:v>웨이트리프팅</x:v>
      </x:c>
      <x:c r="E40" s="57" t="str">
        <x:v>올림픽-풀</x:v>
      </x:c>
      <x:c r="F40" s="57" t="str">
        <x:v>힌지+폭발 당김</x:v>
      </x:c>
      <x:c r="G40" s="57" t="str">
        <x:v>근력/파워</x:v>
      </x:c>
      <x:c r="H40" s="57" t="str">
        <x:v>바벨</x:v>
      </x:c>
      <x:c r="I40" s="66" t="n">
        <x:v>1</x:v>
      </x:c>
      <x:c r="J40" s="66" t="n">
        <x:v>3</x:v>
      </x:c>
      <x:c r="K40" s="57" t="str">
        <x:v>중간</x:v>
      </x:c>
      <x:c r="L40" s="57" t="str">
        <x:v>세트×회</x:v>
      </x:c>
      <x:c r="M40" s="57" t="str">
        <x:v>3~6×2~5</x:v>
      </x:c>
      <x:c r="N40" s="57" t="str">
        <x:v>중간~무거움</x:v>
      </x:c>
      <x:c r="O40" s="57" t="str">
        <x:v>스내치 데드리프트</x:v>
      </x:c>
      <x:c r="P40" s="57" t="str">
        <x:v>디피싯/포즈 스내치 풀</x:v>
      </x:c>
      <x:c r="Q40" s="57" t="str">
        <x:v>급성 요통</x:v>
      </x:c>
      <x:c r="R40" s="57" t="str">
        <x:v>S14</x:v>
      </x:c>
      <x:c r="S40" s="57" t="str">
        <x:v>https://www.catalystathletics.com/exercises/</x:v>
      </x:c>
      <x:c r="T40" s="57" t="str">
        <x:v>N</x:v>
      </x:c>
      <x:c r="U40" s="66" t="n">
        <x:v>0</x:v>
      </x:c>
      <x:c r="V40" s="57" t="str"/>
      <x:c r="W40" s="57" t="str"/>
      <x:c r="X40" s="57" t="str"/>
      <x:c r="Y40" s="57" t="str">
        <x:v>https://www.crossfit.com/essentials/movements</x:v>
      </x:c>
      <x:c r="Z40" s="57" t="str"/>
    </x:row>
    <x:row r="41" ht="46" customHeight="1">
      <x:c r="A41" s="57" t="str">
        <x:v>EX037</x:v>
      </x:c>
      <x:c r="B41" s="57" t="str">
        <x:v>스내치 데드리프트</x:v>
      </x:c>
      <x:c r="C41" s="57" t="str">
        <x:v>Snatch Deadlift</x:v>
      </x:c>
      <x:c r="D41" s="57" t="str">
        <x:v>웨이트리프팅</x:v>
      </x:c>
      <x:c r="E41" s="57" t="str">
        <x:v>올림픽-풀</x:v>
      </x:c>
      <x:c r="F41" s="57" t="str">
        <x:v>힌지+스내치 자세</x:v>
      </x:c>
      <x:c r="G41" s="57" t="str">
        <x:v>근력</x:v>
      </x:c>
      <x:c r="H41" s="57" t="str">
        <x:v>바벨</x:v>
      </x:c>
      <x:c r="I41" s="66" t="n">
        <x:v>1</x:v>
      </x:c>
      <x:c r="J41" s="66" t="n">
        <x:v>2</x:v>
      </x:c>
      <x:c r="K41" s="57" t="str">
        <x:v>중간</x:v>
      </x:c>
      <x:c r="L41" s="57" t="str">
        <x:v>세트×회</x:v>
      </x:c>
      <x:c r="M41" s="57" t="str">
        <x:v>3~5×3~6</x:v>
      </x:c>
      <x:c r="N41" s="57" t="str">
        <x:v>중간~무거움</x:v>
      </x:c>
      <x:c r="O41" s="57" t="str">
        <x:v>블록 스내치 데드리프트</x:v>
      </x:c>
      <x:c r="P41" s="57" t="str">
        <x:v>포즈/슬로우 스내치 DL</x:v>
      </x:c>
      <x:c r="Q41" s="57" t="str">
        <x:v>급성 요통</x:v>
      </x:c>
      <x:c r="R41" s="57" t="str">
        <x:v>S14</x:v>
      </x:c>
      <x:c r="S41" s="57" t="str">
        <x:v>https://www.catalystathletics.com/exercises/</x:v>
      </x:c>
      <x:c r="T41" s="57" t="str">
        <x:v>N</x:v>
      </x:c>
      <x:c r="U41" s="66" t="n">
        <x:v>0</x:v>
      </x:c>
      <x:c r="V41" s="57" t="str"/>
      <x:c r="W41" s="57" t="str"/>
      <x:c r="X41" s="57" t="str"/>
      <x:c r="Y41" s="57" t="str">
        <x:v>https://www.crossfit.com/essentials/movements</x:v>
      </x:c>
      <x:c r="Z41" s="57" t="str"/>
    </x:row>
    <x:row r="42" ht="46" customHeight="1">
      <x:c r="A42" s="57" t="str">
        <x:v>EX038</x:v>
      </x:c>
      <x:c r="B42" s="57" t="str">
        <x:v>클린</x:v>
      </x:c>
      <x:c r="C42" s="57" t="str">
        <x:v>Clean</x:v>
      </x:c>
      <x:c r="D42" s="57" t="str">
        <x:v>웨이트리프팅</x:v>
      </x:c>
      <x:c r="E42" s="57" t="str">
        <x:v>올림픽-클린</x:v>
      </x:c>
      <x:c r="F42" s="57" t="str">
        <x:v>폭발 당김+프론트 스쿼트</x:v>
      </x:c>
      <x:c r="G42" s="57" t="str">
        <x:v>기술/파워</x:v>
      </x:c>
      <x:c r="H42" s="57" t="str">
        <x:v>바벨/플랫폼</x:v>
      </x:c>
      <x:c r="I42" s="66" t="n">
        <x:v>2</x:v>
      </x:c>
      <x:c r="J42" s="66" t="n">
        <x:v>5</x:v>
      </x:c>
      <x:c r="K42" s="57" t="str">
        <x:v>중간</x:v>
      </x:c>
      <x:c r="L42" s="57" t="str">
        <x:v>품질회</x:v>
      </x:c>
      <x:c r="M42" s="57" t="str">
        <x:v>5~10×1~3</x:v>
      </x:c>
      <x:c r="N42" s="57" t="str">
        <x:v>가벼움~무거움</x:v>
      </x:c>
      <x:c r="O42" s="57" t="str">
        <x:v>행 파워 클린</x:v>
      </x:c>
      <x:c r="P42" s="57" t="str">
        <x:v>블록/디피싯/복합 클린</x:v>
      </x:c>
      <x:c r="Q42" s="57" t="str">
        <x:v>감독 없음/손목·요통</x:v>
      </x:c>
      <x:c r="R42" s="57" t="str">
        <x:v>S14</x:v>
      </x:c>
      <x:c r="S42" s="57" t="str">
        <x:v>https://www.catalystathletics.com/exercises/</x:v>
      </x:c>
      <x:c r="T42" s="57" t="str">
        <x:v>Y</x:v>
      </x:c>
      <x:c r="U42" s="66" t="n">
        <x:v>6</x:v>
      </x:c>
      <x:c r="V42" s="57" t="str">
        <x:v>2018, 2019, 2021, 2023, 2025, 2026</x:v>
      </x:c>
      <x:c r="W42" s="57" t="str">
        <x:v>18.2 + 18.2a, 21.4, 23.1, 25.3, 26.3, 19.2</x:v>
      </x:c>
      <x:c r="X42" s="57" t="n">
        <x:v>2026</x:v>
      </x:c>
      <x:c r="Y42" s="57" t="str">
        <x:v>https://www.crossfit.com/essentials/movements</x:v>
      </x:c>
      <x:c r="Z42" s="57" t="str">
        <x:v>https://www.youtube.com/watch?v=9ujMWHBX5CU</x:v>
      </x:c>
    </x:row>
    <x:row r="43" ht="46" customHeight="1">
      <x:c r="A43" s="57" t="str">
        <x:v>EX039</x:v>
      </x:c>
      <x:c r="B43" s="57" t="str">
        <x:v>파워 클린</x:v>
      </x:c>
      <x:c r="C43" s="57" t="str">
        <x:v>Power Clean</x:v>
      </x:c>
      <x:c r="D43" s="57" t="str">
        <x:v>웨이트리프팅</x:v>
      </x:c>
      <x:c r="E43" s="57" t="str">
        <x:v>올림픽-클린</x:v>
      </x:c>
      <x:c r="F43" s="57" t="str">
        <x:v>폭발 당김+프론트랙</x:v>
      </x:c>
      <x:c r="G43" s="57" t="str">
        <x:v>기술/메트콘</x:v>
      </x:c>
      <x:c r="H43" s="57" t="str">
        <x:v>바벨</x:v>
      </x:c>
      <x:c r="I43" s="66" t="n">
        <x:v>1</x:v>
      </x:c>
      <x:c r="J43" s="66" t="n">
        <x:v>3</x:v>
      </x:c>
      <x:c r="K43" s="57" t="str">
        <x:v>중간</x:v>
      </x:c>
      <x:c r="L43" s="57" t="str">
        <x:v>품질회</x:v>
      </x:c>
      <x:c r="M43" s="57" t="str">
        <x:v>4~8×1~3</x:v>
      </x:c>
      <x:c r="N43" s="57" t="str">
        <x:v>가벼움~중간</x:v>
      </x:c>
      <x:c r="O43" s="57" t="str">
        <x:v>행 파워 클린</x:v>
      </x:c>
      <x:c r="P43" s="57" t="str">
        <x:v>풀 클린</x:v>
      </x:c>
      <x:c r="Q43" s="57" t="str">
        <x:v>손목/요통</x:v>
      </x:c>
      <x:c r="R43" s="57" t="str">
        <x:v>S14</x:v>
      </x:c>
      <x:c r="S43" s="57" t="str">
        <x:v>https://www.catalystathletics.com/exercises/</x:v>
      </x:c>
      <x:c r="T43" s="57" t="str">
        <x:v>Y</x:v>
      </x:c>
      <x:c r="U43" s="66" t="n">
        <x:v>1</x:v>
      </x:c>
      <x:c r="V43" s="57" t="str">
        <x:v>2017</x:v>
      </x:c>
      <x:c r="W43" s="57" t="str">
        <x:v>17.2</x:v>
      </x:c>
      <x:c r="X43" s="57" t="n">
        <x:v>2017</x:v>
      </x:c>
      <x:c r="Y43" s="57" t="str">
        <x:v>https://www.crossfit.com/essentials/movements</x:v>
      </x:c>
      <x:c r="Z43" s="57" t="str"/>
    </x:row>
    <x:row r="44" ht="46" customHeight="1">
      <x:c r="A44" s="57" t="str">
        <x:v>EX040</x:v>
      </x:c>
      <x:c r="B44" s="57" t="str">
        <x:v>행 파워 클린</x:v>
      </x:c>
      <x:c r="C44" s="57" t="str">
        <x:v>Hang Power Clean</x:v>
      </x:c>
      <x:c r="D44" s="57" t="str">
        <x:v>웨이트리프팅</x:v>
      </x:c>
      <x:c r="E44" s="57" t="str">
        <x:v>올림픽-클린</x:v>
      </x:c>
      <x:c r="F44" s="57" t="str">
        <x:v>힌지+폭발 프론트랙</x:v>
      </x:c>
      <x:c r="G44" s="57" t="str">
        <x:v>기술/메트콘</x:v>
      </x:c>
      <x:c r="H44" s="57" t="str">
        <x:v>바벨</x:v>
      </x:c>
      <x:c r="I44" s="66" t="n">
        <x:v>1</x:v>
      </x:c>
      <x:c r="J44" s="66" t="n">
        <x:v>3</x:v>
      </x:c>
      <x:c r="K44" s="57" t="str">
        <x:v>중간</x:v>
      </x:c>
      <x:c r="L44" s="57" t="str">
        <x:v>품질회</x:v>
      </x:c>
      <x:c r="M44" s="57" t="str">
        <x:v>4~8×2~4</x:v>
      </x:c>
      <x:c r="N44" s="57" t="str">
        <x:v>가벼움~중간</x:v>
      </x:c>
      <x:c r="O44" s="57" t="str">
        <x:v>덤벨 행 클린</x:v>
      </x:c>
      <x:c r="P44" s="57" t="str">
        <x:v>파워 클린 바닥</x:v>
      </x:c>
      <x:c r="Q44" s="57" t="str">
        <x:v>손목/요통</x:v>
      </x:c>
      <x:c r="R44" s="57" t="str">
        <x:v>S14</x:v>
      </x:c>
      <x:c r="S44" s="57" t="str">
        <x:v>https://www.catalystathletics.com/exercises/</x:v>
      </x:c>
      <x:c r="T44" s="57" t="str">
        <x:v>N</x:v>
      </x:c>
      <x:c r="U44" s="66" t="n">
        <x:v>0</x:v>
      </x:c>
      <x:c r="V44" s="57" t="str"/>
      <x:c r="W44" s="57" t="str"/>
      <x:c r="X44" s="57" t="str"/>
      <x:c r="Y44" s="57" t="str">
        <x:v>https://www.crossfit.com/essentials/movements</x:v>
      </x:c>
      <x:c r="Z44" s="57" t="str"/>
    </x:row>
    <x:row r="45" ht="46" customHeight="1">
      <x:c r="A45" s="57" t="str">
        <x:v>EX041</x:v>
      </x:c>
      <x:c r="B45" s="57" t="str">
        <x:v>톨 클린</x:v>
      </x:c>
      <x:c r="C45" s="57" t="str">
        <x:v>Tall Clean</x:v>
      </x:c>
      <x:c r="D45" s="57" t="str">
        <x:v>웨이트리프팅</x:v>
      </x:c>
      <x:c r="E45" s="57" t="str">
        <x:v>올림픽-클린</x:v>
      </x:c>
      <x:c r="F45" s="57" t="str">
        <x:v>받기 속도</x:v>
      </x:c>
      <x:c r="G45" s="57" t="str">
        <x:v>기술</x:v>
      </x:c>
      <x:c r="H45" s="57" t="str">
        <x:v>바벨</x:v>
      </x:c>
      <x:c r="I45" s="66" t="n">
        <x:v>2</x:v>
      </x:c>
      <x:c r="J45" s="66" t="n">
        <x:v>4</x:v>
      </x:c>
      <x:c r="K45" s="57" t="str">
        <x:v>낮음</x:v>
      </x:c>
      <x:c r="L45" s="57" t="str">
        <x:v>품질회</x:v>
      </x:c>
      <x:c r="M45" s="57" t="str">
        <x:v>4~6×2~3</x:v>
      </x:c>
      <x:c r="N45" s="57" t="str">
        <x:v>가벼움</x:v>
      </x:c>
      <x:c r="O45" s="57" t="str">
        <x:v>클린 턴오버 드릴</x:v>
      </x:c>
      <x:c r="P45" s="57" t="str">
        <x:v>하이행 클린</x:v>
      </x:c>
      <x:c r="Q45" s="57" t="str">
        <x:v>손목/무릎 통증</x:v>
      </x:c>
      <x:c r="R45" s="57" t="str">
        <x:v>S14</x:v>
      </x:c>
      <x:c r="S45" s="57" t="str">
        <x:v>https://www.catalystathletics.com/exercises/</x:v>
      </x:c>
      <x:c r="T45" s="57" t="str">
        <x:v>N</x:v>
      </x:c>
      <x:c r="U45" s="66" t="n">
        <x:v>0</x:v>
      </x:c>
      <x:c r="V45" s="57" t="str"/>
      <x:c r="W45" s="57" t="str"/>
      <x:c r="X45" s="57" t="str"/>
      <x:c r="Y45" s="57" t="str">
        <x:v>https://www.crossfit.com/essentials/movements</x:v>
      </x:c>
      <x:c r="Z45" s="57" t="str"/>
    </x:row>
    <x:row r="46" ht="46" customHeight="1">
      <x:c r="A46" s="57" t="str">
        <x:v>EX042</x:v>
      </x:c>
      <x:c r="B46" s="57" t="str">
        <x:v>클린 풀</x:v>
      </x:c>
      <x:c r="C46" s="57" t="str">
        <x:v>Clean Pull</x:v>
      </x:c>
      <x:c r="D46" s="57" t="str">
        <x:v>웨이트리프팅</x:v>
      </x:c>
      <x:c r="E46" s="57" t="str">
        <x:v>올림픽-풀</x:v>
      </x:c>
      <x:c r="F46" s="57" t="str">
        <x:v>힌지+폭발 당김</x:v>
      </x:c>
      <x:c r="G46" s="57" t="str">
        <x:v>근력/파워</x:v>
      </x:c>
      <x:c r="H46" s="57" t="str">
        <x:v>바벨</x:v>
      </x:c>
      <x:c r="I46" s="66" t="n">
        <x:v>1</x:v>
      </x:c>
      <x:c r="J46" s="66" t="n">
        <x:v>3</x:v>
      </x:c>
      <x:c r="K46" s="57" t="str">
        <x:v>중간</x:v>
      </x:c>
      <x:c r="L46" s="57" t="str">
        <x:v>세트×회</x:v>
      </x:c>
      <x:c r="M46" s="57" t="str">
        <x:v>3~6×2~5</x:v>
      </x:c>
      <x:c r="N46" s="57" t="str">
        <x:v>중간~무거움</x:v>
      </x:c>
      <x:c r="O46" s="57" t="str">
        <x:v>클린 데드리프트</x:v>
      </x:c>
      <x:c r="P46" s="57" t="str">
        <x:v>디피싯/포즈 클린 풀</x:v>
      </x:c>
      <x:c r="Q46" s="57" t="str">
        <x:v>급성 요통</x:v>
      </x:c>
      <x:c r="R46" s="57" t="str">
        <x:v>S14</x:v>
      </x:c>
      <x:c r="S46" s="57" t="str">
        <x:v>https://www.catalystathletics.com/exercises/</x:v>
      </x:c>
      <x:c r="T46" s="57" t="str">
        <x:v>N</x:v>
      </x:c>
      <x:c r="U46" s="66" t="n">
        <x:v>0</x:v>
      </x:c>
      <x:c r="V46" s="57" t="str"/>
      <x:c r="W46" s="57" t="str"/>
      <x:c r="X46" s="57" t="str"/>
      <x:c r="Y46" s="57" t="str">
        <x:v>https://www.crossfit.com/essentials/movements</x:v>
      </x:c>
      <x:c r="Z46" s="57" t="str"/>
    </x:row>
    <x:row r="47" ht="46" customHeight="1">
      <x:c r="A47" s="57" t="str">
        <x:v>EX043</x:v>
      </x:c>
      <x:c r="B47" s="57" t="str">
        <x:v>클린 데드리프트</x:v>
      </x:c>
      <x:c r="C47" s="57" t="str">
        <x:v>Clean Deadlift</x:v>
      </x:c>
      <x:c r="D47" s="57" t="str">
        <x:v>웨이트리프팅</x:v>
      </x:c>
      <x:c r="E47" s="57" t="str">
        <x:v>올림픽-풀</x:v>
      </x:c>
      <x:c r="F47" s="57" t="str">
        <x:v>힌지+클린 자세</x:v>
      </x:c>
      <x:c r="G47" s="57" t="str">
        <x:v>근력</x:v>
      </x:c>
      <x:c r="H47" s="57" t="str">
        <x:v>바벨</x:v>
      </x:c>
      <x:c r="I47" s="66" t="n">
        <x:v>1</x:v>
      </x:c>
      <x:c r="J47" s="66" t="n">
        <x:v>2</x:v>
      </x:c>
      <x:c r="K47" s="57" t="str">
        <x:v>중간</x:v>
      </x:c>
      <x:c r="L47" s="57" t="str">
        <x:v>세트×회</x:v>
      </x:c>
      <x:c r="M47" s="57" t="str">
        <x:v>3~5×3~6</x:v>
      </x:c>
      <x:c r="N47" s="57" t="str">
        <x:v>중간~무거움</x:v>
      </x:c>
      <x:c r="O47" s="57" t="str">
        <x:v>블록 클린 DL</x:v>
      </x:c>
      <x:c r="P47" s="57" t="str">
        <x:v>포즈/슬로우 클린 DL</x:v>
      </x:c>
      <x:c r="Q47" s="57" t="str">
        <x:v>급성 요통</x:v>
      </x:c>
      <x:c r="R47" s="57" t="str">
        <x:v>S14</x:v>
      </x:c>
      <x:c r="S47" s="57" t="str">
        <x:v>https://www.catalystathletics.com/exercises/</x:v>
      </x:c>
      <x:c r="T47" s="57" t="str">
        <x:v>N</x:v>
      </x:c>
      <x:c r="U47" s="66" t="n">
        <x:v>0</x:v>
      </x:c>
      <x:c r="V47" s="57" t="str"/>
      <x:c r="W47" s="57" t="str"/>
      <x:c r="X47" s="57" t="str"/>
      <x:c r="Y47" s="57" t="str">
        <x:v>https://www.crossfit.com/essentials/movements</x:v>
      </x:c>
      <x:c r="Z47" s="57" t="str"/>
    </x:row>
    <x:row r="48" ht="46" customHeight="1">
      <x:c r="A48" s="57" t="str">
        <x:v>EX044</x:v>
      </x:c>
      <x:c r="B48" s="57" t="str">
        <x:v>클린+프론트스쿼트</x:v>
      </x:c>
      <x:c r="C48" s="57" t="str">
        <x:v>Clean + Front Squat Complex</x:v>
      </x:c>
      <x:c r="D48" s="57" t="str">
        <x:v>웨이트리프팅</x:v>
      </x:c>
      <x:c r="E48" s="57" t="str">
        <x:v>올림픽-복합</x:v>
      </x:c>
      <x:c r="F48" s="57" t="str">
        <x:v>클린+스쿼트</x:v>
      </x:c>
      <x:c r="G48" s="57" t="str">
        <x:v>기술/근력</x:v>
      </x:c>
      <x:c r="H48" s="57" t="str">
        <x:v>바벨</x:v>
      </x:c>
      <x:c r="I48" s="66" t="n">
        <x:v>2</x:v>
      </x:c>
      <x:c r="J48" s="66" t="n">
        <x:v>4</x:v>
      </x:c>
      <x:c r="K48" s="57" t="str">
        <x:v>중간</x:v>
      </x:c>
      <x:c r="L48" s="57" t="str">
        <x:v>콤플렉스</x:v>
      </x:c>
      <x:c r="M48" s="57" t="str">
        <x:v>4~7×(1+1~2)</x:v>
      </x:c>
      <x:c r="N48" s="57" t="str">
        <x:v>중간</x:v>
      </x:c>
      <x:c r="O48" s="57" t="str">
        <x:v>행 클린+스쿼트</x:v>
      </x:c>
      <x:c r="P48" s="57" t="str">
        <x:v>클린+다중 스쿼트</x:v>
      </x:c>
      <x:c r="Q48" s="57" t="str">
        <x:v>손목/무릎 통증</x:v>
      </x:c>
      <x:c r="R48" s="57" t="str">
        <x:v>S08</x:v>
      </x:c>
      <x:c r="S48" s="57" t="str">
        <x:v>https://www.catalystathletics.com/article/2031/Multidimensionality-in-Weightlifting-Programming-Do-More-wit/</x:v>
      </x:c>
      <x:c r="T48" s="57" t="str">
        <x:v>N</x:v>
      </x:c>
      <x:c r="U48" s="66" t="n">
        <x:v>0</x:v>
      </x:c>
      <x:c r="V48" s="57" t="str"/>
      <x:c r="W48" s="57" t="str"/>
      <x:c r="X48" s="57" t="str"/>
      <x:c r="Y48" s="57" t="str">
        <x:v>https://www.crossfit.com/essentials/movements</x:v>
      </x:c>
      <x:c r="Z48" s="57" t="str"/>
    </x:row>
    <x:row r="49" ht="46" customHeight="1">
      <x:c r="A49" s="57" t="str">
        <x:v>EX045</x:v>
      </x:c>
      <x:c r="B49" s="57" t="str">
        <x:v>스플릿 저크</x:v>
      </x:c>
      <x:c r="C49" s="57" t="str">
        <x:v>Split Jerk</x:v>
      </x:c>
      <x:c r="D49" s="57" t="str">
        <x:v>웨이트리프팅</x:v>
      </x:c>
      <x:c r="E49" s="57" t="str">
        <x:v>올림픽-저크</x:v>
      </x:c>
      <x:c r="F49" s="57" t="str">
        <x:v>딥드라이브+오버헤드</x:v>
      </x:c>
      <x:c r="G49" s="57" t="str">
        <x:v>기술/파워</x:v>
      </x:c>
      <x:c r="H49" s="57" t="str">
        <x:v>바벨/랙</x:v>
      </x:c>
      <x:c r="I49" s="66" t="n">
        <x:v>2</x:v>
      </x:c>
      <x:c r="J49" s="66" t="n">
        <x:v>5</x:v>
      </x:c>
      <x:c r="K49" s="57" t="str">
        <x:v>중간</x:v>
      </x:c>
      <x:c r="L49" s="57" t="str">
        <x:v>품질회</x:v>
      </x:c>
      <x:c r="M49" s="57" t="str">
        <x:v>5~10×1~3</x:v>
      </x:c>
      <x:c r="N49" s="57" t="str">
        <x:v>가벼움~무거움</x:v>
      </x:c>
      <x:c r="O49" s="57" t="str">
        <x:v>푸시 저크/프레스 인 스플릿</x:v>
      </x:c>
      <x:c r="P49" s="57" t="str">
        <x:v>블록/랙 헤비 저크</x:v>
      </x:c>
      <x:c r="Q49" s="57" t="str">
        <x:v>감독 없음/어깨·무릎 통증</x:v>
      </x:c>
      <x:c r="R49" s="57" t="str">
        <x:v>S14</x:v>
      </x:c>
      <x:c r="S49" s="57" t="str">
        <x:v>https://www.catalystathletics.com/exercises/</x:v>
      </x:c>
      <x:c r="T49" s="57" t="str">
        <x:v>Y</x:v>
      </x:c>
      <x:c r="U49" s="66" t="n">
        <x:v>1</x:v>
      </x:c>
      <x:c r="V49" s="57" t="str">
        <x:v>2021</x:v>
      </x:c>
      <x:c r="W49" s="57" t="str">
        <x:v>21.4</x:v>
      </x:c>
      <x:c r="X49" s="57" t="n">
        <x:v>2021</x:v>
      </x:c>
      <x:c r="Y49" s="57" t="str">
        <x:v>https://www.crossfit.com/essentials/movements</x:v>
      </x:c>
      <x:c r="Z49" s="57" t="str"/>
    </x:row>
    <x:row r="50" ht="46" customHeight="1">
      <x:c r="A50" s="57" t="str">
        <x:v>EX046</x:v>
      </x:c>
      <x:c r="B50" s="57" t="str">
        <x:v>푸시 저크</x:v>
      </x:c>
      <x:c r="C50" s="57" t="str">
        <x:v>Push Jerk</x:v>
      </x:c>
      <x:c r="D50" s="57" t="str">
        <x:v>웨이트리프팅</x:v>
      </x:c>
      <x:c r="E50" s="57" t="str">
        <x:v>올림픽-저크</x:v>
      </x:c>
      <x:c r="F50" s="57" t="str">
        <x:v>딥드라이브+오버헤드</x:v>
      </x:c>
      <x:c r="G50" s="57" t="str">
        <x:v>기술/메트콘</x:v>
      </x:c>
      <x:c r="H50" s="57" t="str">
        <x:v>바벨</x:v>
      </x:c>
      <x:c r="I50" s="66" t="n">
        <x:v>1</x:v>
      </x:c>
      <x:c r="J50" s="66" t="n">
        <x:v>3</x:v>
      </x:c>
      <x:c r="K50" s="57" t="str">
        <x:v>중간</x:v>
      </x:c>
      <x:c r="L50" s="57" t="str">
        <x:v>회</x:v>
      </x:c>
      <x:c r="M50" s="57" t="str">
        <x:v>3~7×2~6</x:v>
      </x:c>
      <x:c r="N50" s="57" t="str">
        <x:v>가벼움~중간</x:v>
      </x:c>
      <x:c r="O50" s="57" t="str">
        <x:v>푸시프레스</x:v>
      </x:c>
      <x:c r="P50" s="57" t="str">
        <x:v>스플릿 저크</x:v>
      </x:c>
      <x:c r="Q50" s="57" t="str">
        <x:v>어깨/손목 통증</x:v>
      </x:c>
      <x:c r="R50" s="57" t="str">
        <x:v>S15</x:v>
      </x:c>
      <x:c r="S50" s="57" t="str">
        <x:v>https://www.crossfit.com/movements/</x:v>
      </x:c>
      <x:c r="T50" s="57" t="str">
        <x:v>N</x:v>
      </x:c>
      <x:c r="U50" s="66" t="n">
        <x:v>0</x:v>
      </x:c>
      <x:c r="V50" s="57" t="str"/>
      <x:c r="W50" s="57" t="str"/>
      <x:c r="X50" s="57" t="str"/>
      <x:c r="Y50" s="57" t="str">
        <x:v>https://www.crossfit.com/essentials/movements</x:v>
      </x:c>
      <x:c r="Z50" s="57" t="str">
        <x:v>https://www.youtube.com/watch?v=V-hKuAfWNUw</x:v>
      </x:c>
    </x:row>
    <x:row r="51" ht="46" customHeight="1">
      <x:c r="A51" s="57" t="str">
        <x:v>EX047</x:v>
      </x:c>
      <x:c r="B51" s="57" t="str">
        <x:v>파워 저크</x:v>
      </x:c>
      <x:c r="C51" s="57" t="str">
        <x:v>Power Jerk</x:v>
      </x:c>
      <x:c r="D51" s="57" t="str">
        <x:v>웨이트리프팅</x:v>
      </x:c>
      <x:c r="E51" s="57" t="str">
        <x:v>올림픽-저크</x:v>
      </x:c>
      <x:c r="F51" s="57" t="str">
        <x:v>딥드라이브+오버헤드</x:v>
      </x:c>
      <x:c r="G51" s="57" t="str">
        <x:v>기술/파워</x:v>
      </x:c>
      <x:c r="H51" s="57" t="str">
        <x:v>바벨</x:v>
      </x:c>
      <x:c r="I51" s="66" t="n">
        <x:v>2</x:v>
      </x:c>
      <x:c r="J51" s="66" t="n">
        <x:v>4</x:v>
      </x:c>
      <x:c r="K51" s="57" t="str">
        <x:v>중간</x:v>
      </x:c>
      <x:c r="L51" s="57" t="str">
        <x:v>품질회</x:v>
      </x:c>
      <x:c r="M51" s="57" t="str">
        <x:v>4~8×1~3</x:v>
      </x:c>
      <x:c r="N51" s="57" t="str">
        <x:v>중간</x:v>
      </x:c>
      <x:c r="O51" s="57" t="str">
        <x:v>푸시 저크</x:v>
      </x:c>
      <x:c r="P51" s="57" t="str">
        <x:v>스플릿 저크</x:v>
      </x:c>
      <x:c r="Q51" s="57" t="str">
        <x:v>어깨/무릎 통증</x:v>
      </x:c>
      <x:c r="R51" s="57" t="str">
        <x:v>S14</x:v>
      </x:c>
      <x:c r="S51" s="57" t="str">
        <x:v>https://www.catalystathletics.com/exercises/</x:v>
      </x:c>
      <x:c r="T51" s="57" t="str">
        <x:v>N</x:v>
      </x:c>
      <x:c r="U51" s="66" t="n">
        <x:v>0</x:v>
      </x:c>
      <x:c r="V51" s="57" t="str"/>
      <x:c r="W51" s="57" t="str"/>
      <x:c r="X51" s="57" t="str"/>
      <x:c r="Y51" s="57" t="str">
        <x:v>https://www.crossfit.com/essentials/movements</x:v>
      </x:c>
      <x:c r="Z51" s="57" t="str"/>
    </x:row>
    <x:row r="52" ht="46" customHeight="1">
      <x:c r="A52" s="57" t="str">
        <x:v>EX048</x:v>
      </x:c>
      <x:c r="B52" s="57" t="str">
        <x:v>저크 딥</x:v>
      </x:c>
      <x:c r="C52" s="57" t="str">
        <x:v>Jerk Dip</x:v>
      </x:c>
      <x:c r="D52" s="57" t="str">
        <x:v>웨이트리프팅</x:v>
      </x:c>
      <x:c r="E52" s="57" t="str">
        <x:v>저크 보조</x:v>
      </x:c>
      <x:c r="F52" s="57" t="str">
        <x:v>수직 딥</x:v>
      </x:c>
      <x:c r="G52" s="57" t="str">
        <x:v>기술/근력</x:v>
      </x:c>
      <x:c r="H52" s="57" t="str">
        <x:v>바벨/랙</x:v>
      </x:c>
      <x:c r="I52" s="66" t="n">
        <x:v>1</x:v>
      </x:c>
      <x:c r="J52" s="66" t="n">
        <x:v>2</x:v>
      </x:c>
      <x:c r="K52" s="57" t="str">
        <x:v>낮음</x:v>
      </x:c>
      <x:c r="L52" s="57" t="str">
        <x:v>세트×회</x:v>
      </x:c>
      <x:c r="M52" s="57" t="str">
        <x:v>3~5×3~5</x:v>
      </x:c>
      <x:c r="N52" s="57" t="str">
        <x:v>중간~무거움</x:v>
      </x:c>
      <x:c r="O52" s="57" t="str">
        <x:v>무부하 딥</x:v>
      </x:c>
      <x:c r="P52" s="57" t="str">
        <x:v>저크 드라이브</x:v>
      </x:c>
      <x:c r="Q52" s="57" t="str">
        <x:v>무릎/허리 통증</x:v>
      </x:c>
      <x:c r="R52" s="57" t="str">
        <x:v>S14</x:v>
      </x:c>
      <x:c r="S52" s="57" t="str">
        <x:v>https://www.catalystathletics.com/exercises/</x:v>
      </x:c>
      <x:c r="T52" s="57" t="str">
        <x:v>N</x:v>
      </x:c>
      <x:c r="U52" s="66" t="n">
        <x:v>0</x:v>
      </x:c>
      <x:c r="V52" s="57" t="str"/>
      <x:c r="W52" s="57" t="str"/>
      <x:c r="X52" s="57" t="str"/>
      <x:c r="Y52" s="57" t="str">
        <x:v>https://www.crossfit.com/essentials/movements</x:v>
      </x:c>
      <x:c r="Z52" s="57" t="str"/>
    </x:row>
    <x:row r="53" ht="46" customHeight="1">
      <x:c r="A53" s="57" t="str">
        <x:v>EX049</x:v>
      </x:c>
      <x:c r="B53" s="57" t="str">
        <x:v>저크 드라이브</x:v>
      </x:c>
      <x:c r="C53" s="57" t="str">
        <x:v>Jerk Drive</x:v>
      </x:c>
      <x:c r="D53" s="57" t="str">
        <x:v>웨이트리프팅</x:v>
      </x:c>
      <x:c r="E53" s="57" t="str">
        <x:v>저크 보조</x:v>
      </x:c>
      <x:c r="F53" s="57" t="str">
        <x:v>딥드라이브</x:v>
      </x:c>
      <x:c r="G53" s="57" t="str">
        <x:v>기술/근력</x:v>
      </x:c>
      <x:c r="H53" s="57" t="str">
        <x:v>바벨/랙</x:v>
      </x:c>
      <x:c r="I53" s="66" t="n">
        <x:v>2</x:v>
      </x:c>
      <x:c r="J53" s="66" t="n">
        <x:v>3</x:v>
      </x:c>
      <x:c r="K53" s="57" t="str">
        <x:v>중간</x:v>
      </x:c>
      <x:c r="L53" s="57" t="str">
        <x:v>세트×회</x:v>
      </x:c>
      <x:c r="M53" s="57" t="str">
        <x:v>3~6×2~4</x:v>
      </x:c>
      <x:c r="N53" s="57" t="str">
        <x:v>중간~무거움</x:v>
      </x:c>
      <x:c r="O53" s="57" t="str">
        <x:v>저크 딥</x:v>
      </x:c>
      <x:c r="P53" s="57" t="str">
        <x:v>푸시프레스+저크</x:v>
      </x:c>
      <x:c r="Q53" s="57" t="str">
        <x:v>무릎/어깨 통증</x:v>
      </x:c>
      <x:c r="R53" s="57" t="str">
        <x:v>S08</x:v>
      </x:c>
      <x:c r="S53" s="57" t="str">
        <x:v>https://www.catalystathletics.com/article/2031/Multidimensionality-in-Weightlifting-Programming-Do-More-wit/</x:v>
      </x:c>
      <x:c r="T53" s="57" t="str">
        <x:v>N</x:v>
      </x:c>
      <x:c r="U53" s="66" t="n">
        <x:v>0</x:v>
      </x:c>
      <x:c r="V53" s="57" t="str"/>
      <x:c r="W53" s="57" t="str"/>
      <x:c r="X53" s="57" t="str"/>
      <x:c r="Y53" s="57" t="str">
        <x:v>https://www.crossfit.com/essentials/movements</x:v>
      </x:c>
      <x:c r="Z53" s="57" t="str"/>
    </x:row>
    <x:row r="54" ht="46" customHeight="1">
      <x:c r="A54" s="57" t="str">
        <x:v>EX050</x:v>
      </x:c>
      <x:c r="B54" s="57" t="str">
        <x:v>프레스 인 스플릿</x:v>
      </x:c>
      <x:c r="C54" s="57" t="str">
        <x:v>Press in Split</x:v>
      </x:c>
      <x:c r="D54" s="57" t="str">
        <x:v>웨이트리프팅</x:v>
      </x:c>
      <x:c r="E54" s="57" t="str">
        <x:v>저크 보조</x:v>
      </x:c>
      <x:c r="F54" s="57" t="str">
        <x:v>수직 밀기+스플릿 안정</x:v>
      </x:c>
      <x:c r="G54" s="57" t="str">
        <x:v>기술/보조</x:v>
      </x:c>
      <x:c r="H54" s="57" t="str">
        <x:v>바벨</x:v>
      </x:c>
      <x:c r="I54" s="66" t="n">
        <x:v>1</x:v>
      </x:c>
      <x:c r="J54" s="66" t="n">
        <x:v>2</x:v>
      </x:c>
      <x:c r="K54" s="57" t="str">
        <x:v>낮음</x:v>
      </x:c>
      <x:c r="L54" s="57" t="str">
        <x:v>회/측</x:v>
      </x:c>
      <x:c r="M54" s="57" t="str">
        <x:v>3~5×4~8</x:v>
      </x:c>
      <x:c r="N54" s="57" t="str">
        <x:v>가벼움</x:v>
      </x:c>
      <x:c r="O54" s="57" t="str">
        <x:v>PVC 프레스 인 스플릿</x:v>
      </x:c>
      <x:c r="P54" s="57" t="str">
        <x:v>푸시프레스 인 스플릿</x:v>
      </x:c>
      <x:c r="Q54" s="57" t="str">
        <x:v>어깨 통증</x:v>
      </x:c>
      <x:c r="R54" s="57" t="str">
        <x:v>S08</x:v>
      </x:c>
      <x:c r="S54" s="57" t="str">
        <x:v>https://www.catalystathletics.com/article/2031/Multidimensionality-in-Weightlifting-Programming-Do-More-wit/</x:v>
      </x:c>
      <x:c r="T54" s="57" t="str">
        <x:v>N</x:v>
      </x:c>
      <x:c r="U54" s="66" t="n">
        <x:v>0</x:v>
      </x:c>
      <x:c r="V54" s="57" t="str"/>
      <x:c r="W54" s="57" t="str"/>
      <x:c r="X54" s="57" t="str"/>
      <x:c r="Y54" s="57" t="str">
        <x:v>https://www.crossfit.com/essentials/movements</x:v>
      </x:c>
      <x:c r="Z54" s="57" t="str"/>
    </x:row>
    <x:row r="55" ht="46" customHeight="1">
      <x:c r="A55" s="57" t="str">
        <x:v>EX051</x:v>
      </x:c>
      <x:c r="B55" s="57" t="str">
        <x:v>버피</x:v>
      </x:c>
      <x:c r="C55" s="57" t="str">
        <x:v>Burpee</x:v>
      </x:c>
      <x:c r="D55" s="57" t="str">
        <x:v>체조</x:v>
      </x:c>
      <x:c r="E55" s="57" t="str">
        <x:v>전신</x:v>
      </x:c>
      <x:c r="F55" s="57" t="str">
        <x:v>수평 밀기+기립</x:v>
      </x:c>
      <x:c r="G55" s="57" t="str">
        <x:v>메트콘</x:v>
      </x:c>
      <x:c r="H55" s="57" t="str">
        <x:v>없음</x:v>
      </x:c>
      <x:c r="I55" s="66" t="n">
        <x:v>1</x:v>
      </x:c>
      <x:c r="J55" s="66" t="n">
        <x:v>1</x:v>
      </x:c>
      <x:c r="K55" s="57" t="str">
        <x:v>중간</x:v>
      </x:c>
      <x:c r="L55" s="57" t="str">
        <x:v>회</x:v>
      </x:c>
      <x:c r="M55" s="57" t="str">
        <x:v>5~20/세트</x:v>
      </x:c>
      <x:c r="N55" s="57" t="str">
        <x:v>무부하</x:v>
      </x:c>
      <x:c r="O55" s="57" t="str">
        <x:v>업다운/박스 버피</x:v>
      </x:c>
      <x:c r="P55" s="57" t="str">
        <x:v>바페이 박스점프오버</x:v>
      </x:c>
      <x:c r="Q55" s="57" t="str">
        <x:v>손목/요통/충격 제한</x:v>
      </x:c>
      <x:c r="R55" s="57" t="str">
        <x:v>S15</x:v>
      </x:c>
      <x:c r="S55" s="57" t="str">
        <x:v>https://www.crossfit.com/movements/</x:v>
      </x:c>
      <x:c r="T55" s="57" t="str">
        <x:v>N</x:v>
      </x:c>
      <x:c r="U55" s="66" t="n">
        <x:v>0</x:v>
      </x:c>
      <x:c r="V55" s="57" t="str"/>
      <x:c r="W55" s="57" t="str"/>
      <x:c r="X55" s="57" t="str"/>
      <x:c r="Y55" s="57" t="str">
        <x:v>https://www.crossfit.com/essentials/movements</x:v>
      </x:c>
      <x:c r="Z55" s="57" t="str">
        <x:v>https://www.youtube.com/watch?v=TU8QYVW0gDU</x:v>
      </x:c>
    </x:row>
    <x:row r="56" ht="46" customHeight="1">
      <x:c r="A56" s="57" t="str">
        <x:v>EX052</x:v>
      </x:c>
      <x:c r="B56" s="57" t="str">
        <x:v>박스 점프</x:v>
      </x:c>
      <x:c r="C56" s="57" t="str">
        <x:v>Box Jump</x:v>
      </x:c>
      <x:c r="D56" s="57" t="str">
        <x:v>체조</x:v>
      </x:c>
      <x:c r="E56" s="57" t="str">
        <x:v>점프</x:v>
      </x:c>
      <x:c r="F56" s="57" t="str">
        <x:v>하지 파워</x:v>
      </x:c>
      <x:c r="G56" s="57" t="str">
        <x:v>파워/메트콘</x:v>
      </x:c>
      <x:c r="H56" s="57" t="str">
        <x:v>박스</x:v>
      </x:c>
      <x:c r="I56" s="66" t="n">
        <x:v>1</x:v>
      </x:c>
      <x:c r="J56" s="66" t="n">
        <x:v>2</x:v>
      </x:c>
      <x:c r="K56" s="57" t="str">
        <x:v>높음</x:v>
      </x:c>
      <x:c r="L56" s="57" t="str">
        <x:v>접촉회</x:v>
      </x:c>
      <x:c r="M56" s="57" t="str">
        <x:v>3~8×3~10</x:v>
      </x:c>
      <x:c r="N56" s="57" t="str">
        <x:v>무부하</x:v>
      </x:c>
      <x:c r="O56" s="57" t="str">
        <x:v>낮은 박스/스텝업</x:v>
      </x:c>
      <x:c r="P56" s="57" t="str">
        <x:v>높은 박스/리바운드</x:v>
      </x:c>
      <x:c r="Q56" s="57" t="str">
        <x:v>아킬레스/무릎 통증</x:v>
      </x:c>
      <x:c r="R56" s="57" t="str">
        <x:v>S15</x:v>
      </x:c>
      <x:c r="S56" s="57" t="str">
        <x:v>https://www.crossfit.com/movements/</x:v>
      </x:c>
      <x:c r="T56" s="57" t="str">
        <x:v>Y</x:v>
      </x:c>
      <x:c r="U56" s="66" t="n">
        <x:v>1</x:v>
      </x:c>
      <x:c r="V56" s="57" t="str">
        <x:v>2020</x:v>
      </x:c>
      <x:c r="W56" s="57" t="str">
        <x:v>20.4</x:v>
      </x:c>
      <x:c r="X56" s="57" t="n">
        <x:v>2020</x:v>
      </x:c>
      <x:c r="Y56" s="57" t="str">
        <x:v>https://www.crossfit.com/essentials/movements</x:v>
      </x:c>
      <x:c r="Z56" s="57" t="str"/>
    </x:row>
    <x:row r="57" ht="46" customHeight="1">
      <x:c r="A57" s="57" t="str">
        <x:v>EX053</x:v>
      </x:c>
      <x:c r="B57" s="57" t="str">
        <x:v>박스 점프 오버</x:v>
      </x:c>
      <x:c r="C57" s="57" t="str">
        <x:v>Box Jump-over</x:v>
      </x:c>
      <x:c r="D57" s="57" t="str">
        <x:v>체조</x:v>
      </x:c>
      <x:c r="E57" s="57" t="str">
        <x:v>점프</x:v>
      </x:c>
      <x:c r="F57" s="57" t="str">
        <x:v>하지 파워+이동</x:v>
      </x:c>
      <x:c r="G57" s="57" t="str">
        <x:v>메트콘</x:v>
      </x:c>
      <x:c r="H57" s="57" t="str">
        <x:v>박스</x:v>
      </x:c>
      <x:c r="I57" s="66" t="n">
        <x:v>2</x:v>
      </x:c>
      <x:c r="J57" s="66" t="n">
        <x:v>3</x:v>
      </x:c>
      <x:c r="K57" s="57" t="str">
        <x:v>높음</x:v>
      </x:c>
      <x:c r="L57" s="57" t="str">
        <x:v>접촉회</x:v>
      </x:c>
      <x:c r="M57" s="57" t="str">
        <x:v>5~15/세트</x:v>
      </x:c>
      <x:c r="N57" s="57" t="str">
        <x:v>무부하</x:v>
      </x:c>
      <x:c r="O57" s="57" t="str">
        <x:v>스텝오버</x:v>
      </x:c>
      <x:c r="P57" s="57" t="str">
        <x:v>버피 박스점프오버</x:v>
      </x:c>
      <x:c r="Q57" s="57" t="str">
        <x:v>충격 내성 부족</x:v>
      </x:c>
      <x:c r="R57" s="57" t="str">
        <x:v>S15</x:v>
      </x:c>
      <x:c r="S57" s="57" t="str">
        <x:v>https://www.crossfit.com/movements/</x:v>
      </x:c>
      <x:c r="T57" s="57" t="str">
        <x:v>Y</x:v>
      </x:c>
      <x:c r="U57" s="66" t="n">
        <x:v>2</x:v>
      </x:c>
      <x:c r="V57" s="57" t="str">
        <x:v>2022, 2026</x:v>
      </x:c>
      <x:c r="W57" s="57" t="str">
        <x:v>22.1, 26.1</x:v>
      </x:c>
      <x:c r="X57" s="57" t="n">
        <x:v>2026</x:v>
      </x:c>
      <x:c r="Y57" s="57" t="str">
        <x:v>https://www.crossfit.com/essentials/movements</x:v>
      </x:c>
      <x:c r="Z57" s="57" t="str"/>
    </x:row>
    <x:row r="58" ht="46" customHeight="1">
      <x:c r="A58" s="57" t="str">
        <x:v>EX054</x:v>
      </x:c>
      <x:c r="B58" s="57" t="str">
        <x:v>싱글언더</x:v>
      </x:c>
      <x:c r="C58" s="57" t="str">
        <x:v>Single-under</x:v>
      </x:c>
      <x:c r="D58" s="57" t="str">
        <x:v>모노스트럭처럴</x:v>
      </x:c>
      <x:c r="E58" s="57" t="str">
        <x:v>줄넘기</x:v>
      </x:c>
      <x:c r="F58" s="57" t="str">
        <x:v>사이클 점프</x:v>
      </x:c>
      <x:c r="G58" s="57" t="str">
        <x:v>워밍업/메트콘</x:v>
      </x:c>
      <x:c r="H58" s="57" t="str">
        <x:v>줄넘기</x:v>
      </x:c>
      <x:c r="I58" s="66" t="n">
        <x:v>1</x:v>
      </x:c>
      <x:c r="J58" s="66" t="n">
        <x:v>1</x:v>
      </x:c>
      <x:c r="K58" s="57" t="str">
        <x:v>중간</x:v>
      </x:c>
      <x:c r="L58" s="57" t="str">
        <x:v>회/초</x:v>
      </x:c>
      <x:c r="M58" s="57" t="str">
        <x:v>30~120초</x:v>
      </x:c>
      <x:c r="N58" s="57" t="str">
        <x:v>무부하</x:v>
      </x:c>
      <x:c r="O58" s="57" t="str">
        <x:v>라인 스텝</x:v>
      </x:c>
      <x:c r="P58" s="57" t="str">
        <x:v>더블언더</x:v>
      </x:c>
      <x:c r="Q58" s="57" t="str">
        <x:v>아킬레스 통증</x:v>
      </x:c>
      <x:c r="R58" s="57" t="str">
        <x:v>S15</x:v>
      </x:c>
      <x:c r="S58" s="57" t="str">
        <x:v>https://www.crossfit.com/movements/</x:v>
      </x:c>
      <x:c r="T58" s="57" t="str">
        <x:v>N</x:v>
      </x:c>
      <x:c r="U58" s="66" t="n">
        <x:v>0</x:v>
      </x:c>
      <x:c r="V58" s="57" t="str"/>
      <x:c r="W58" s="57" t="str"/>
      <x:c r="X58" s="57" t="str"/>
      <x:c r="Y58" s="57" t="str">
        <x:v>https://www.crossfit.com/essentials/movements</x:v>
      </x:c>
      <x:c r="Z58" s="57" t="str"/>
    </x:row>
    <x:row r="59" ht="46" customHeight="1">
      <x:c r="A59" s="57" t="str">
        <x:v>EX055</x:v>
      </x:c>
      <x:c r="B59" s="57" t="str">
        <x:v>더블언더</x:v>
      </x:c>
      <x:c r="C59" s="57" t="str">
        <x:v>Double-under</x:v>
      </x:c>
      <x:c r="D59" s="57" t="str">
        <x:v>모노스트럭처럴</x:v>
      </x:c>
      <x:c r="E59" s="57" t="str">
        <x:v>줄넘기</x:v>
      </x:c>
      <x:c r="F59" s="57" t="str">
        <x:v>사이클 점프</x:v>
      </x:c>
      <x:c r="G59" s="57" t="str">
        <x:v>기술/메트콘</x:v>
      </x:c>
      <x:c r="H59" s="57" t="str">
        <x:v>줄넘기</x:v>
      </x:c>
      <x:c r="I59" s="66" t="n">
        <x:v>2</x:v>
      </x:c>
      <x:c r="J59" s="66" t="n">
        <x:v>3</x:v>
      </x:c>
      <x:c r="K59" s="57" t="str">
        <x:v>높음</x:v>
      </x:c>
      <x:c r="L59" s="57" t="str">
        <x:v>회</x:v>
      </x:c>
      <x:c r="M59" s="57" t="str">
        <x:v>10~80/세트</x:v>
      </x:c>
      <x:c r="N59" s="57" t="str">
        <x:v>무부하</x:v>
      </x:c>
      <x:c r="O59" s="57" t="str">
        <x:v>싱글언더</x:v>
      </x:c>
      <x:c r="P59" s="57" t="str">
        <x:v>크로스오버</x:v>
      </x:c>
      <x:c r="Q59" s="57" t="str">
        <x:v>아킬레스/종아리 통증</x:v>
      </x:c>
      <x:c r="R59" s="57" t="str">
        <x:v>S15</x:v>
      </x:c>
      <x:c r="S59" s="57" t="str">
        <x:v>https://www.crossfit.com/movements/</x:v>
      </x:c>
      <x:c r="T59" s="57" t="str">
        <x:v>Y</x:v>
      </x:c>
      <x:c r="U59" s="66" t="n">
        <x:v>9</x:v>
      </x:c>
      <x:c r="V59" s="57" t="str">
        <x:v>2017, 2018, 2019, 2020, 2021, 2022, 2023, 2024, 2025</x:v>
      </x:c>
      <x:c r="W59" s="57" t="str">
        <x:v>17.5, 18.3, 19.2, 20.2, 21.1, 22.3, 23.3, 24.2, 25.2</x:v>
      </x:c>
      <x:c r="X59" s="57" t="n">
        <x:v>2025</x:v>
      </x:c>
      <x:c r="Y59" s="57" t="str">
        <x:v>https://www.crossfit.com/essentials/movements</x:v>
      </x:c>
      <x:c r="Z59" s="57" t="str"/>
    </x:row>
    <x:row r="60" ht="46" customHeight="1">
      <x:c r="A60" s="57" t="str">
        <x:v>EX056</x:v>
      </x:c>
      <x:c r="B60" s="57" t="str">
        <x:v>핸드스탠드 홀드</x:v>
      </x:c>
      <x:c r="C60" s="57" t="str">
        <x:v>Handstand Hold</x:v>
      </x:c>
      <x:c r="D60" s="57" t="str">
        <x:v>체조</x:v>
      </x:c>
      <x:c r="E60" s="57" t="str">
        <x:v>인버전</x:v>
      </x:c>
      <x:c r="F60" s="57" t="str">
        <x:v>오버헤드 지지+몸통</x:v>
      </x:c>
      <x:c r="G60" s="57" t="str">
        <x:v>기술</x:v>
      </x:c>
      <x:c r="H60" s="57" t="str">
        <x:v>벽</x:v>
      </x:c>
      <x:c r="I60" s="66" t="n">
        <x:v>1</x:v>
      </x:c>
      <x:c r="J60" s="66" t="n">
        <x:v>3</x:v>
      </x:c>
      <x:c r="K60" s="57" t="str">
        <x:v>낮음</x:v>
      </x:c>
      <x:c r="L60" s="57" t="str">
        <x:v>초</x:v>
      </x:c>
      <x:c r="M60" s="57" t="str">
        <x:v>4~8×10~40초</x:v>
      </x:c>
      <x:c r="N60" s="57" t="str">
        <x:v>체중</x:v>
      </x:c>
      <x:c r="O60" s="57" t="str">
        <x:v>박스 파이크 홀드</x:v>
      </x:c>
      <x:c r="P60" s="57" t="str">
        <x:v>프리 핸드스탠드</x:v>
      </x:c>
      <x:c r="Q60" s="57" t="str">
        <x:v>손목/어깨 통증; 어지럼</x:v>
      </x:c>
      <x:c r="R60" s="57" t="str">
        <x:v>S15</x:v>
      </x:c>
      <x:c r="S60" s="57" t="str">
        <x:v>https://www.crossfit.com/movements/</x:v>
      </x:c>
      <x:c r="T60" s="57" t="str">
        <x:v>N</x:v>
      </x:c>
      <x:c r="U60" s="66" t="n">
        <x:v>0</x:v>
      </x:c>
      <x:c r="V60" s="57" t="str"/>
      <x:c r="W60" s="57" t="str"/>
      <x:c r="X60" s="57" t="str"/>
      <x:c r="Y60" s="57" t="str">
        <x:v>https://www.crossfit.com/essentials/movements</x:v>
      </x:c>
      <x:c r="Z60" s="57" t="str"/>
    </x:row>
    <x:row r="61" ht="46" customHeight="1">
      <x:c r="A61" s="57" t="str">
        <x:v>EX057</x:v>
      </x:c>
      <x:c r="B61" s="57" t="str">
        <x:v>월워크</x:v>
      </x:c>
      <x:c r="C61" s="57" t="str">
        <x:v>Wall Walk</x:v>
      </x:c>
      <x:c r="D61" s="57" t="str">
        <x:v>체조</x:v>
      </x:c>
      <x:c r="E61" s="57" t="str">
        <x:v>인버전</x:v>
      </x:c>
      <x:c r="F61" s="57" t="str">
        <x:v>수평/수직 밀기+몸통</x:v>
      </x:c>
      <x:c r="G61" s="57" t="str">
        <x:v>기술/메트콘</x:v>
      </x:c>
      <x:c r="H61" s="57" t="str">
        <x:v>벽</x:v>
      </x:c>
      <x:c r="I61" s="66" t="n">
        <x:v>1</x:v>
      </x:c>
      <x:c r="J61" s="66" t="n">
        <x:v>3</x:v>
      </x:c>
      <x:c r="K61" s="57" t="str">
        <x:v>중간</x:v>
      </x:c>
      <x:c r="L61" s="57" t="str">
        <x:v>회</x:v>
      </x:c>
      <x:c r="M61" s="57" t="str">
        <x:v>2~8/세트</x:v>
      </x:c>
      <x:c r="N61" s="57" t="str">
        <x:v>체중</x:v>
      </x:c>
      <x:c r="O61" s="57" t="str">
        <x:v>부분 월워크</x:v>
      </x:c>
      <x:c r="P61" s="57" t="str">
        <x:v>핸드스탠드 워크</x:v>
      </x:c>
      <x:c r="Q61" s="57" t="str">
        <x:v>어깨/손목 통증</x:v>
      </x:c>
      <x:c r="R61" s="57" t="str">
        <x:v>S15</x:v>
      </x:c>
      <x:c r="S61" s="57" t="str">
        <x:v>https://www.crossfit.com/movements/</x:v>
      </x:c>
      <x:c r="T61" s="57" t="str">
        <x:v>Y</x:v>
      </x:c>
      <x:c r="U61" s="66" t="n">
        <x:v>4</x:v>
      </x:c>
      <x:c r="V61" s="57" t="str">
        <x:v>2021, 2022, 2023, 2025</x:v>
      </x:c>
      <x:c r="W61" s="57" t="str">
        <x:v>21.1, 22.1, 23.3, 25.3</x:v>
      </x:c>
      <x:c r="X61" s="57" t="n">
        <x:v>2025</x:v>
      </x:c>
      <x:c r="Y61" s="57" t="str">
        <x:v>https://www.crossfit.com/essentials/movements</x:v>
      </x:c>
      <x:c r="Z61" s="57" t="str"/>
    </x:row>
    <x:row r="62" ht="46" customHeight="1">
      <x:c r="A62" s="57" t="str">
        <x:v>EX058</x:v>
      </x:c>
      <x:c r="B62" s="57" t="str">
        <x:v>핸드스탠드 푸시업</x:v>
      </x:c>
      <x:c r="C62" s="57" t="str">
        <x:v>Handstand Push-up</x:v>
      </x:c>
      <x:c r="D62" s="57" t="str">
        <x:v>체조</x:v>
      </x:c>
      <x:c r="E62" s="57" t="str">
        <x:v>인버전 밀기</x:v>
      </x:c>
      <x:c r="F62" s="57" t="str">
        <x:v>수직 밀기</x:v>
      </x:c>
      <x:c r="G62" s="57" t="str">
        <x:v>기술/메트콘</x:v>
      </x:c>
      <x:c r="H62" s="57" t="str">
        <x:v>벽/매트</x:v>
      </x:c>
      <x:c r="I62" s="66" t="n">
        <x:v>2</x:v>
      </x:c>
      <x:c r="J62" s="66" t="n">
        <x:v>4</x:v>
      </x:c>
      <x:c r="K62" s="57" t="str">
        <x:v>중간</x:v>
      </x:c>
      <x:c r="L62" s="57" t="str">
        <x:v>품질회</x:v>
      </x:c>
      <x:c r="M62" s="57" t="str">
        <x:v>3~8×1~8</x:v>
      </x:c>
      <x:c r="N62" s="57" t="str">
        <x:v>체중</x:v>
      </x:c>
      <x:c r="O62" s="57" t="str">
        <x:v>박스 파이크 HSPU</x:v>
      </x:c>
      <x:c r="P62" s="57" t="str">
        <x:v>디피싯/프리 HSPU</x:v>
      </x:c>
      <x:c r="Q62" s="57" t="str">
        <x:v>목/어깨/손목 통증</x:v>
      </x:c>
      <x:c r="R62" s="57" t="str">
        <x:v>S15</x:v>
      </x:c>
      <x:c r="S62" s="57" t="str">
        <x:v>https://www.crossfit.com/movements/</x:v>
      </x:c>
      <x:c r="T62" s="57" t="str">
        <x:v>Y</x:v>
      </x:c>
      <x:c r="U62" s="66" t="n">
        <x:v>3</x:v>
      </x:c>
      <x:c r="V62" s="57" t="str">
        <x:v>2017, 2018, 2020</x:v>
      </x:c>
      <x:c r="W62" s="57" t="str">
        <x:v>17.4, 18.4, 20.3</x:v>
      </x:c>
      <x:c r="X62" s="57" t="n">
        <x:v>2020</x:v>
      </x:c>
      <x:c r="Y62" s="57" t="str">
        <x:v>https://www.crossfit.com/essentials/movements</x:v>
      </x:c>
      <x:c r="Z62" s="57" t="str"/>
    </x:row>
    <x:row r="63" ht="46" customHeight="1">
      <x:c r="A63" s="57" t="str">
        <x:v>EX059</x:v>
      </x:c>
      <x:c r="B63" s="57" t="str">
        <x:v>핸드스탠드 워크</x:v>
      </x:c>
      <x:c r="C63" s="57" t="str">
        <x:v>Handstand Walk</x:v>
      </x:c>
      <x:c r="D63" s="57" t="str">
        <x:v>체조</x:v>
      </x:c>
      <x:c r="E63" s="57" t="str">
        <x:v>인버전 이동</x:v>
      </x:c>
      <x:c r="F63" s="57" t="str">
        <x:v>오버헤드 지지+이동</x:v>
      </x:c>
      <x:c r="G63" s="57" t="str">
        <x:v>기술/메트콘</x:v>
      </x:c>
      <x:c r="H63" s="57" t="str">
        <x:v>바닥</x:v>
      </x:c>
      <x:c r="I63" s="66" t="n">
        <x:v>3</x:v>
      </x:c>
      <x:c r="J63" s="66" t="n">
        <x:v>5</x:v>
      </x:c>
      <x:c r="K63" s="57" t="str">
        <x:v>중간</x:v>
      </x:c>
      <x:c r="L63" s="57" t="str">
        <x:v>m/초</x:v>
      </x:c>
      <x:c r="M63" s="57" t="str">
        <x:v>5~20m</x:v>
      </x:c>
      <x:c r="N63" s="57" t="str">
        <x:v>체중</x:v>
      </x:c>
      <x:c r="O63" s="57" t="str">
        <x:v>벽 체중이동/베어크롤</x:v>
      </x:c>
      <x:c r="P63" s="57" t="str">
        <x:v>장애물 HSW</x:v>
      </x:c>
      <x:c r="Q63" s="57" t="str">
        <x:v>손목/어깨 통증</x:v>
      </x:c>
      <x:c r="R63" s="57" t="str">
        <x:v>S15</x:v>
      </x:c>
      <x:c r="S63" s="57" t="str">
        <x:v>https://www.crossfit.com/movements/</x:v>
      </x:c>
      <x:c r="T63" s="57" t="str">
        <x:v>Y</x:v>
      </x:c>
      <x:c r="U63" s="66" t="n">
        <x:v>3</x:v>
      </x:c>
      <x:c r="V63" s="57" t="str">
        <x:v>2018, 2019, 2020</x:v>
      </x:c>
      <x:c r="W63" s="57" t="str">
        <x:v>18.4, 19.3, 20.3</x:v>
      </x:c>
      <x:c r="X63" s="57" t="n">
        <x:v>2020</x:v>
      </x:c>
      <x:c r="Y63" s="57" t="str">
        <x:v>https://www.crossfit.com/essentials/movements</x:v>
      </x:c>
      <x:c r="Z63" s="57" t="str"/>
    </x:row>
    <x:row r="64" ht="46" customHeight="1">
      <x:c r="A64" s="57" t="str">
        <x:v>EX060</x:v>
      </x:c>
      <x:c r="B64" s="57" t="str">
        <x:v>행잉 니레이즈</x:v>
      </x:c>
      <x:c r="C64" s="57" t="str">
        <x:v>Hanging Knee Raise</x:v>
      </x:c>
      <x:c r="D64" s="57" t="str">
        <x:v>체조</x:v>
      </x:c>
      <x:c r="E64" s="57" t="str">
        <x:v>몸통</x:v>
      </x:c>
      <x:c r="F64" s="57" t="str">
        <x:v>매달림+몸통 굴곡</x:v>
      </x:c>
      <x:c r="G64" s="57" t="str">
        <x:v>기술/메트콘</x:v>
      </x:c>
      <x:c r="H64" s="57" t="str">
        <x:v>바</x:v>
      </x:c>
      <x:c r="I64" s="66" t="n">
        <x:v>1</x:v>
      </x:c>
      <x:c r="J64" s="66" t="n">
        <x:v>2</x:v>
      </x:c>
      <x:c r="K64" s="57" t="str">
        <x:v>낮음</x:v>
      </x:c>
      <x:c r="L64" s="57" t="str">
        <x:v>회</x:v>
      </x:c>
      <x:c r="M64" s="57" t="str">
        <x:v>3~5×5~15</x:v>
      </x:c>
      <x:c r="N64" s="57" t="str">
        <x:v>체중</x:v>
      </x:c>
      <x:c r="O64" s="57" t="str">
        <x:v>수파인 니레이즈</x:v>
      </x:c>
      <x:c r="P64" s="57" t="str">
        <x:v>토투바</x:v>
      </x:c>
      <x:c r="Q64" s="57" t="str">
        <x:v>그립/어깨 통증</x:v>
      </x:c>
      <x:c r="R64" s="57" t="str">
        <x:v>S15</x:v>
      </x:c>
      <x:c r="S64" s="57" t="str">
        <x:v>https://www.crossfit.com/movements/</x:v>
      </x:c>
      <x:c r="T64" s="57" t="str">
        <x:v>N</x:v>
      </x:c>
      <x:c r="U64" s="66" t="n">
        <x:v>0</x:v>
      </x:c>
      <x:c r="V64" s="57" t="str"/>
      <x:c r="W64" s="57" t="str"/>
      <x:c r="X64" s="57" t="str"/>
      <x:c r="Y64" s="57" t="str">
        <x:v>https://www.crossfit.com/essentials/movements</x:v>
      </x:c>
      <x:c r="Z64" s="57" t="str"/>
    </x:row>
    <x:row r="65" ht="46" customHeight="1">
      <x:c r="A65" s="57" t="str">
        <x:v>EX061</x:v>
      </x:c>
      <x:c r="B65" s="57" t="str">
        <x:v>토투바</x:v>
      </x:c>
      <x:c r="C65" s="57" t="str">
        <x:v>Toes-to-bar</x:v>
      </x:c>
      <x:c r="D65" s="57" t="str">
        <x:v>체조</x:v>
      </x:c>
      <x:c r="E65" s="57" t="str">
        <x:v>몸통</x:v>
      </x:c>
      <x:c r="F65" s="57" t="str">
        <x:v>매달림+키핑+몸통 굴곡</x:v>
      </x:c>
      <x:c r="G65" s="57" t="str">
        <x:v>기술/메트콘</x:v>
      </x:c>
      <x:c r="H65" s="57" t="str">
        <x:v>바</x:v>
      </x:c>
      <x:c r="I65" s="66" t="n">
        <x:v>2</x:v>
      </x:c>
      <x:c r="J65" s="66" t="n">
        <x:v>4</x:v>
      </x:c>
      <x:c r="K65" s="57" t="str">
        <x:v>중간</x:v>
      </x:c>
      <x:c r="L65" s="57" t="str">
        <x:v>회</x:v>
      </x:c>
      <x:c r="M65" s="57" t="str">
        <x:v>3~10/세트</x:v>
      </x:c>
      <x:c r="N65" s="57" t="str">
        <x:v>체중</x:v>
      </x:c>
      <x:c r="O65" s="57" t="str">
        <x:v>니레이즈</x:v>
      </x:c>
      <x:c r="P65" s="57" t="str">
        <x:v>스트릭트 TTB</x:v>
      </x:c>
      <x:c r="Q65" s="57" t="str">
        <x:v>어깨/그립 통증</x:v>
      </x:c>
      <x:c r="R65" s="57" t="str">
        <x:v>S15</x:v>
      </x:c>
      <x:c r="S65" s="57" t="str">
        <x:v>https://www.crossfit.com/movements/</x:v>
      </x:c>
      <x:c r="T65" s="57" t="str">
        <x:v>Y</x:v>
      </x:c>
      <x:c r="U65" s="66" t="n">
        <x:v>6</x:v>
      </x:c>
      <x:c r="V65" s="57" t="str">
        <x:v>2017, 2018, 2019, 2020, 2021, 2023</x:v>
      </x:c>
      <x:c r="W65" s="57" t="str">
        <x:v>17.2, 18.1, 19.2, 20.2, 21.3, 23.1</x:v>
      </x:c>
      <x:c r="X65" s="57" t="n">
        <x:v>2023</x:v>
      </x:c>
      <x:c r="Y65" s="57" t="str">
        <x:v>https://www.crossfit.com/essentials/movements</x:v>
      </x:c>
      <x:c r="Z65" s="57" t="str"/>
    </x:row>
    <x:row r="66" ht="46" customHeight="1">
      <x:c r="A66" s="57" t="str">
        <x:v>EX062</x:v>
      </x:c>
      <x:c r="B66" s="57" t="str">
        <x:v>싯업</x:v>
      </x:c>
      <x:c r="C66" s="57" t="str">
        <x:v>Sit-up</x:v>
      </x:c>
      <x:c r="D66" s="57" t="str">
        <x:v>체조</x:v>
      </x:c>
      <x:c r="E66" s="57" t="str">
        <x:v>몸통</x:v>
      </x:c>
      <x:c r="F66" s="57" t="str">
        <x:v>몸통 굴곡</x:v>
      </x:c>
      <x:c r="G66" s="57" t="str">
        <x:v>보조/메트콘</x:v>
      </x:c>
      <x:c r="H66" s="57" t="str">
        <x:v>매트</x:v>
      </x:c>
      <x:c r="I66" s="66" t="n">
        <x:v>1</x:v>
      </x:c>
      <x:c r="J66" s="66" t="n">
        <x:v>1</x:v>
      </x:c>
      <x:c r="K66" s="57" t="str">
        <x:v>낮음</x:v>
      </x:c>
      <x:c r="L66" s="57" t="str">
        <x:v>회</x:v>
      </x:c>
      <x:c r="M66" s="57" t="str">
        <x:v>10~30/세트</x:v>
      </x:c>
      <x:c r="N66" s="57" t="str">
        <x:v>무부하</x:v>
      </x:c>
      <x:c r="O66" s="57" t="str">
        <x:v>크런치</x:v>
      </x:c>
      <x:c r="P66" s="57" t="str">
        <x:v>GHD 싯업</x:v>
      </x:c>
      <x:c r="Q66" s="57" t="str">
        <x:v>요통/고관절 굴곡근 통증</x:v>
      </x:c>
      <x:c r="R66" s="57" t="str">
        <x:v>S15</x:v>
      </x:c>
      <x:c r="S66" s="57" t="str">
        <x:v>https://www.crossfit.com/movements/</x:v>
      </x:c>
      <x:c r="T66" s="57" t="str">
        <x:v>N</x:v>
      </x:c>
      <x:c r="U66" s="66" t="n">
        <x:v>0</x:v>
      </x:c>
      <x:c r="V66" s="57" t="str"/>
      <x:c r="W66" s="57" t="str"/>
      <x:c r="X66" s="57" t="str"/>
      <x:c r="Y66" s="57" t="str">
        <x:v>https://www.crossfit.com/essentials/movements</x:v>
      </x:c>
      <x:c r="Z66" s="57" t="str"/>
    </x:row>
    <x:row r="67" ht="46" customHeight="1">
      <x:c r="A67" s="57" t="str">
        <x:v>EX063</x:v>
      </x:c>
      <x:c r="B67" s="57" t="str">
        <x:v>홀로우 홀드</x:v>
      </x:c>
      <x:c r="C67" s="57" t="str">
        <x:v>Hollow Hold</x:v>
      </x:c>
      <x:c r="D67" s="57" t="str">
        <x:v>체조</x:v>
      </x:c>
      <x:c r="E67" s="57" t="str">
        <x:v>몸통</x:v>
      </x:c>
      <x:c r="F67" s="57" t="str">
        <x:v>항신전</x:v>
      </x:c>
      <x:c r="G67" s="57" t="str">
        <x:v>워밍업/기술</x:v>
      </x:c>
      <x:c r="H67" s="57" t="str">
        <x:v>매트</x:v>
      </x:c>
      <x:c r="I67" s="66" t="n">
        <x:v>1</x:v>
      </x:c>
      <x:c r="J67" s="66" t="n">
        <x:v>1</x:v>
      </x:c>
      <x:c r="K67" s="57" t="str">
        <x:v>낮음</x:v>
      </x:c>
      <x:c r="L67" s="57" t="str">
        <x:v>초</x:v>
      </x:c>
      <x:c r="M67" s="57" t="str">
        <x:v>3~5×15~40초</x:v>
      </x:c>
      <x:c r="N67" s="57" t="str">
        <x:v>체중</x:v>
      </x:c>
      <x:c r="O67" s="57" t="str">
        <x:v>턱 홀로우</x:v>
      </x:c>
      <x:c r="P67" s="57" t="str">
        <x:v>홀로우 락</x:v>
      </x:c>
      <x:c r="Q67" s="57" t="str">
        <x:v>요통</x:v>
      </x:c>
      <x:c r="R67" s="57" t="str">
        <x:v>S15</x:v>
      </x:c>
      <x:c r="S67" s="57" t="str">
        <x:v>https://www.crossfit.com/movements/</x:v>
      </x:c>
      <x:c r="T67" s="57" t="str">
        <x:v>N</x:v>
      </x:c>
      <x:c r="U67" s="66" t="n">
        <x:v>0</x:v>
      </x:c>
      <x:c r="V67" s="57" t="str"/>
      <x:c r="W67" s="57" t="str"/>
      <x:c r="X67" s="57" t="str"/>
      <x:c r="Y67" s="57" t="str">
        <x:v>https://www.crossfit.com/essentials/movements</x:v>
      </x:c>
      <x:c r="Z67" s="57" t="str"/>
    </x:row>
    <x:row r="68" ht="46" customHeight="1">
      <x:c r="A68" s="57" t="str">
        <x:v>EX064</x:v>
      </x:c>
      <x:c r="B68" s="57" t="str">
        <x:v>아치 홀드</x:v>
      </x:c>
      <x:c r="C68" s="57" t="str">
        <x:v>Arch Hold</x:v>
      </x:c>
      <x:c r="D68" s="57" t="str">
        <x:v>체조</x:v>
      </x:c>
      <x:c r="E68" s="57" t="str">
        <x:v>몸통</x:v>
      </x:c>
      <x:c r="F68" s="57" t="str">
        <x:v>몸통 신전</x:v>
      </x:c>
      <x:c r="G68" s="57" t="str">
        <x:v>워밍업/기술</x:v>
      </x:c>
      <x:c r="H68" s="57" t="str">
        <x:v>매트</x:v>
      </x:c>
      <x:c r="I68" s="66" t="n">
        <x:v>1</x:v>
      </x:c>
      <x:c r="J68" s="66" t="n">
        <x:v>1</x:v>
      </x:c>
      <x:c r="K68" s="57" t="str">
        <x:v>낮음</x:v>
      </x:c>
      <x:c r="L68" s="57" t="str">
        <x:v>초</x:v>
      </x:c>
      <x:c r="M68" s="57" t="str">
        <x:v>3~5×15~40초</x:v>
      </x:c>
      <x:c r="N68" s="57" t="str">
        <x:v>체중</x:v>
      </x:c>
      <x:c r="O68" s="57" t="str">
        <x:v>버드독</x:v>
      </x:c>
      <x:c r="P68" s="57" t="str">
        <x:v>아치 락</x:v>
      </x:c>
      <x:c r="Q68" s="57" t="str">
        <x:v>급성 요통</x:v>
      </x:c>
      <x:c r="R68" s="57" t="str">
        <x:v>S15</x:v>
      </x:c>
      <x:c r="S68" s="57" t="str">
        <x:v>https://www.crossfit.com/movements/</x:v>
      </x:c>
      <x:c r="T68" s="57" t="str">
        <x:v>N</x:v>
      </x:c>
      <x:c r="U68" s="66" t="n">
        <x:v>0</x:v>
      </x:c>
      <x:c r="V68" s="57" t="str"/>
      <x:c r="W68" s="57" t="str"/>
      <x:c r="X68" s="57" t="str"/>
      <x:c r="Y68" s="57" t="str">
        <x:v>https://www.crossfit.com/essentials/movements</x:v>
      </x:c>
      <x:c r="Z68" s="57" t="str"/>
    </x:row>
    <x:row r="69" ht="46" customHeight="1">
      <x:c r="A69" s="57" t="str">
        <x:v>EX065</x:v>
      </x:c>
      <x:c r="B69" s="57" t="str">
        <x:v>엘싯</x:v>
      </x:c>
      <x:c r="C69" s="57" t="str">
        <x:v>L-sit</x:v>
      </x:c>
      <x:c r="D69" s="57" t="str">
        <x:v>체조</x:v>
      </x:c>
      <x:c r="E69" s="57" t="str">
        <x:v>몸통</x:v>
      </x:c>
      <x:c r="F69" s="57" t="str">
        <x:v>압박+지지</x:v>
      </x:c>
      <x:c r="G69" s="57" t="str">
        <x:v>기술</x:v>
      </x:c>
      <x:c r="H69" s="57" t="str">
        <x:v>패럴렛/박스</x:v>
      </x:c>
      <x:c r="I69" s="66" t="n">
        <x:v>2</x:v>
      </x:c>
      <x:c r="J69" s="66" t="n">
        <x:v>4</x:v>
      </x:c>
      <x:c r="K69" s="57" t="str">
        <x:v>낮음</x:v>
      </x:c>
      <x:c r="L69" s="57" t="str">
        <x:v>초</x:v>
      </x:c>
      <x:c r="M69" s="57" t="str">
        <x:v>4~8×5~20초</x:v>
      </x:c>
      <x:c r="N69" s="57" t="str">
        <x:v>체중</x:v>
      </x:c>
      <x:c r="O69" s="57" t="str">
        <x:v>턱싯</x:v>
      </x:c>
      <x:c r="P69" s="57" t="str">
        <x:v>링 L-sit</x:v>
      </x:c>
      <x:c r="Q69" s="57" t="str">
        <x:v>손목/고관절 굴곡근 통증</x:v>
      </x:c>
      <x:c r="R69" s="57" t="str">
        <x:v>S15</x:v>
      </x:c>
      <x:c r="S69" s="57" t="str">
        <x:v>https://www.crossfit.com/movements/</x:v>
      </x:c>
      <x:c r="T69" s="57" t="str">
        <x:v>N</x:v>
      </x:c>
      <x:c r="U69" s="66" t="n">
        <x:v>0</x:v>
      </x:c>
      <x:c r="V69" s="57" t="str"/>
      <x:c r="W69" s="57" t="str"/>
      <x:c r="X69" s="57" t="str"/>
      <x:c r="Y69" s="57" t="str">
        <x:v>https://www.crossfit.com/essentials/movements</x:v>
      </x:c>
      <x:c r="Z69" s="57" t="str"/>
    </x:row>
    <x:row r="70" ht="46" customHeight="1">
      <x:c r="A70" s="57" t="str">
        <x:v>EX066</x:v>
      </x:c>
      <x:c r="B70" s="57" t="str">
        <x:v>바 머슬업</x:v>
      </x:c>
      <x:c r="C70" s="57" t="str">
        <x:v>Bar Muscle-up</x:v>
      </x:c>
      <x:c r="D70" s="57" t="str">
        <x:v>체조</x:v>
      </x:c>
      <x:c r="E70" s="57" t="str">
        <x:v>복합 당김/밀기</x:v>
      </x:c>
      <x:c r="F70" s="57" t="str">
        <x:v>수직 당김+딥</x:v>
      </x:c>
      <x:c r="G70" s="57" t="str">
        <x:v>기술/메트콘</x:v>
      </x:c>
      <x:c r="H70" s="57" t="str">
        <x:v>바</x:v>
      </x:c>
      <x:c r="I70" s="66" t="n">
        <x:v>3</x:v>
      </x:c>
      <x:c r="J70" s="66" t="n">
        <x:v>5</x:v>
      </x:c>
      <x:c r="K70" s="57" t="str">
        <x:v>중간</x:v>
      </x:c>
      <x:c r="L70" s="57" t="str">
        <x:v>품질회</x:v>
      </x:c>
      <x:c r="M70" s="57" t="str">
        <x:v>4~8×1~5</x:v>
      </x:c>
      <x:c r="N70" s="57" t="str">
        <x:v>체중</x:v>
      </x:c>
      <x:c r="O70" s="57" t="str">
        <x:v>체스트투바+바 딥</x:v>
      </x:c>
      <x:c r="P70" s="57" t="str">
        <x:v>스트릭트/연속 BMU</x:v>
      </x:c>
      <x:c r="Q70" s="57" t="str">
        <x:v>어깨/팔꿈치 통증</x:v>
      </x:c>
      <x:c r="R70" s="57" t="str">
        <x:v>S15</x:v>
      </x:c>
      <x:c r="S70" s="57" t="str">
        <x:v>https://www.crossfit.com/movements/</x:v>
      </x:c>
      <x:c r="T70" s="57" t="str">
        <x:v>Y</x:v>
      </x:c>
      <x:c r="U70" s="66" t="n">
        <x:v>8</x:v>
      </x:c>
      <x:c r="V70" s="57" t="str">
        <x:v>2017, 2018, 2019, 2021, 2022, 2024, 2025, 2026</x:v>
      </x:c>
      <x:c r="W70" s="57" t="str">
        <x:v>17.2, 18.3, 19.4, 21.3, 22.3, 24.3, 25.2, 26.2</x:v>
      </x:c>
      <x:c r="X70" s="57" t="n">
        <x:v>2026</x:v>
      </x:c>
      <x:c r="Y70" s="57" t="str">
        <x:v>https://www.crossfit.com/essentials/movements</x:v>
      </x:c>
      <x:c r="Z70" s="57" t="str">
        <x:v>https://www.youtube.com/watch?v=iUAukdE0QQ4</x:v>
      </x:c>
    </x:row>
    <x:row r="71" ht="46" customHeight="1">
      <x:c r="A71" s="57" t="str">
        <x:v>EX067</x:v>
      </x:c>
      <x:c r="B71" s="57" t="str">
        <x:v>링 머슬업</x:v>
      </x:c>
      <x:c r="C71" s="57" t="str">
        <x:v>Ring Muscle-up</x:v>
      </x:c>
      <x:c r="D71" s="57" t="str">
        <x:v>체조</x:v>
      </x:c>
      <x:c r="E71" s="57" t="str">
        <x:v>복합 당김/밀기</x:v>
      </x:c>
      <x:c r="F71" s="57" t="str">
        <x:v>수직 당김+링 딥</x:v>
      </x:c>
      <x:c r="G71" s="57" t="str">
        <x:v>기술/메트콘</x:v>
      </x:c>
      <x:c r="H71" s="57" t="str">
        <x:v>링</x:v>
      </x:c>
      <x:c r="I71" s="66" t="n">
        <x:v>3</x:v>
      </x:c>
      <x:c r="J71" s="66" t="n">
        <x:v>5</x:v>
      </x:c>
      <x:c r="K71" s="57" t="str">
        <x:v>중간</x:v>
      </x:c>
      <x:c r="L71" s="57" t="str">
        <x:v>품질회</x:v>
      </x:c>
      <x:c r="M71" s="57" t="str">
        <x:v>4~8×1~4</x:v>
      </x:c>
      <x:c r="N71" s="57" t="str">
        <x:v>체중</x:v>
      </x:c>
      <x:c r="O71" s="57" t="str">
        <x:v>낮은 링 전환+딥</x:v>
      </x:c>
      <x:c r="P71" s="57" t="str">
        <x:v>스트릭트/연속 RMU</x:v>
      </x:c>
      <x:c r="Q71" s="57" t="str">
        <x:v>어깨/팔꿈치 통증</x:v>
      </x:c>
      <x:c r="R71" s="57" t="str">
        <x:v>S15</x:v>
      </x:c>
      <x:c r="S71" s="57" t="str">
        <x:v>https://www.crossfit.com/movements/</x:v>
      </x:c>
      <x:c r="T71" s="57" t="str">
        <x:v>Y</x:v>
      </x:c>
      <x:c r="U71" s="66" t="n">
        <x:v>3</x:v>
      </x:c>
      <x:c r="V71" s="57" t="str">
        <x:v>2018, 2020, 2023</x:v>
      </x:c>
      <x:c r="W71" s="57" t="str">
        <x:v>18.3, 20.5, 23.1</x:v>
      </x:c>
      <x:c r="X71" s="57" t="n">
        <x:v>2023</x:v>
      </x:c>
      <x:c r="Y71" s="57" t="str">
        <x:v>https://www.crossfit.com/essentials/movements</x:v>
      </x:c>
      <x:c r="Z71" s="57" t="str">
        <x:v>https://www.youtube.com/watch?v=vJTJFc2wmk4</x:v>
      </x:c>
    </x:row>
    <x:row r="72" ht="46" customHeight="1">
      <x:c r="A72" s="57" t="str">
        <x:v>EX068</x:v>
      </x:c>
      <x:c r="B72" s="57" t="str">
        <x:v>달리기</x:v>
      </x:c>
      <x:c r="C72" s="57" t="str">
        <x:v>Run</x:v>
      </x:c>
      <x:c r="D72" s="57" t="str">
        <x:v>모노스트럭처럴</x:v>
      </x:c>
      <x:c r="E72" s="57" t="str">
        <x:v>달리기</x:v>
      </x:c>
      <x:c r="F72" s="57" t="str">
        <x:v>순환+보행</x:v>
      </x:c>
      <x:c r="G72" s="57" t="str">
        <x:v>컨디셔닝</x:v>
      </x:c>
      <x:c r="H72" s="57" t="str">
        <x:v>트랙/야외/트레드밀</x:v>
      </x:c>
      <x:c r="I72" s="66" t="n">
        <x:v>1</x:v>
      </x:c>
      <x:c r="J72" s="66" t="n">
        <x:v>1</x:v>
      </x:c>
      <x:c r="K72" s="57" t="str">
        <x:v>중간~높음</x:v>
      </x:c>
      <x:c r="L72" s="57" t="str">
        <x:v>m/분</x:v>
      </x:c>
      <x:c r="M72" s="57" t="str">
        <x:v>100m~60분</x:v>
      </x:c>
      <x:c r="N72" s="57" t="str">
        <x:v>개인 페이스</x:v>
      </x:c>
      <x:c r="O72" s="57" t="str">
        <x:v>걷기/로우</x:v>
      </x:c>
      <x:c r="P72" s="57" t="str">
        <x:v>인터벌/스프린트</x:v>
      </x:c>
      <x:c r="Q72" s="57" t="str">
        <x:v>하지 통증</x:v>
      </x:c>
      <x:c r="R72" s="57" t="str">
        <x:v>S11</x:v>
      </x:c>
      <x:c r="S72" s="57" t="str">
        <x:v>https://www.crossfit.com/pro-coach/programming-basics-part-1</x:v>
      </x:c>
      <x:c r="T72" s="57" t="str">
        <x:v>N</x:v>
      </x:c>
      <x:c r="U72" s="66" t="n">
        <x:v>0</x:v>
      </x:c>
      <x:c r="V72" s="57" t="str"/>
      <x:c r="W72" s="57" t="str"/>
      <x:c r="X72" s="57" t="str"/>
      <x:c r="Y72" s="57" t="str">
        <x:v>https://www.crossfit.com/essentials/movements</x:v>
      </x:c>
      <x:c r="Z72" s="57" t="str"/>
    </x:row>
    <x:row r="73" ht="46" customHeight="1">
      <x:c r="A73" s="57" t="str">
        <x:v>EX069</x:v>
      </x:c>
      <x:c r="B73" s="57" t="str">
        <x:v>로우</x:v>
      </x:c>
      <x:c r="C73" s="57" t="str">
        <x:v>Row Erg</x:v>
      </x:c>
      <x:c r="D73" s="57" t="str">
        <x:v>모노스트럭처럴</x:v>
      </x:c>
      <x:c r="E73" s="57" t="str">
        <x:v>로잉</x:v>
      </x:c>
      <x:c r="F73" s="57" t="str">
        <x:v>힌지+당김+순환</x:v>
      </x:c>
      <x:c r="G73" s="57" t="str">
        <x:v>컨디셔닝</x:v>
      </x:c>
      <x:c r="H73" s="57" t="str">
        <x:v>로워</x:v>
      </x:c>
      <x:c r="I73" s="66" t="n">
        <x:v>1</x:v>
      </x:c>
      <x:c r="J73" s="66" t="n">
        <x:v>1</x:v>
      </x:c>
      <x:c r="K73" s="57" t="str">
        <x:v>낮음</x:v>
      </x:c>
      <x:c r="L73" s="57" t="str">
        <x:v>m/cal/분</x:v>
      </x:c>
      <x:c r="M73" s="57" t="str">
        <x:v>10초~60분</x:v>
      </x:c>
      <x:c r="N73" s="57" t="str">
        <x:v>개인 페이스</x:v>
      </x:c>
      <x:c r="O73" s="57" t="str">
        <x:v>기술 로우</x:v>
      </x:c>
      <x:c r="P73" s="57" t="str">
        <x:v>스프린트 인터벌</x:v>
      </x:c>
      <x:c r="Q73" s="57" t="str">
        <x:v>급성 요통</x:v>
      </x:c>
      <x:c r="R73" s="57" t="str">
        <x:v>S11</x:v>
      </x:c>
      <x:c r="S73" s="57" t="str">
        <x:v>https://www.crossfit.com/pro-coach/programming-basics-part-1</x:v>
      </x:c>
      <x:c r="T73" s="57" t="str">
        <x:v>Y</x:v>
      </x:c>
      <x:c r="U73" s="66" t="n">
        <x:v>7</x:v>
      </x:c>
      <x:c r="V73" s="57" t="str">
        <x:v>2017, 2018, 2019, 2020, 2023, 2024, 2025</x:v>
      </x:c>
      <x:c r="W73" s="57" t="str">
        <x:v>17.4, 18.1, 19.1, 20.5, 23.1, 24.2, 25.3</x:v>
      </x:c>
      <x:c r="X73" s="57" t="n">
        <x:v>2025</x:v>
      </x:c>
      <x:c r="Y73" s="57" t="str">
        <x:v>https://www.crossfit.com/essentials/movements</x:v>
      </x:c>
      <x:c r="Z73" s="57" t="str"/>
    </x:row>
    <x:row r="74" ht="46" customHeight="1">
      <x:c r="A74" s="57" t="str">
        <x:v>EX070</x:v>
      </x:c>
      <x:c r="B74" s="57" t="str">
        <x:v>바이크에르그</x:v>
      </x:c>
      <x:c r="C74" s="57" t="str">
        <x:v>Bike Erg</x:v>
      </x:c>
      <x:c r="D74" s="57" t="str">
        <x:v>모노스트럭처럴</x:v>
      </x:c>
      <x:c r="E74" s="57" t="str">
        <x:v>사이클</x:v>
      </x:c>
      <x:c r="F74" s="57" t="str">
        <x:v>순환+하지</x:v>
      </x:c>
      <x:c r="G74" s="57" t="str">
        <x:v>컨디셔닝</x:v>
      </x:c>
      <x:c r="H74" s="57" t="str">
        <x:v>바이크에르그</x:v>
      </x:c>
      <x:c r="I74" s="66" t="n">
        <x:v>1</x:v>
      </x:c>
      <x:c r="J74" s="66" t="n">
        <x:v>1</x:v>
      </x:c>
      <x:c r="K74" s="57" t="str">
        <x:v>낮음</x:v>
      </x:c>
      <x:c r="L74" s="57" t="str">
        <x:v>cal/분</x:v>
      </x:c>
      <x:c r="M74" s="57" t="str">
        <x:v>10초~90분</x:v>
      </x:c>
      <x:c r="N74" s="57" t="str">
        <x:v>개인 페이스</x:v>
      </x:c>
      <x:c r="O74" s="57" t="str">
        <x:v>리컴번트/쉬운 페달</x:v>
      </x:c>
      <x:c r="P74" s="57" t="str">
        <x:v>스프린트 인터벌</x:v>
      </x:c>
      <x:c r="Q74" s="57" t="str">
        <x:v>무릎 통증</x:v>
      </x:c>
      <x:c r="R74" s="57" t="str">
        <x:v>S11</x:v>
      </x:c>
      <x:c r="S74" s="57" t="str">
        <x:v>https://www.crossfit.com/pro-coach/programming-basics-part-1</x:v>
      </x:c>
      <x:c r="T74" s="57" t="str">
        <x:v>N</x:v>
      </x:c>
      <x:c r="U74" s="66" t="n">
        <x:v>0</x:v>
      </x:c>
      <x:c r="V74" s="57" t="str"/>
      <x:c r="W74" s="57" t="str"/>
      <x:c r="X74" s="57" t="str"/>
      <x:c r="Y74" s="57" t="str">
        <x:v>https://www.crossfit.com/essentials/movements</x:v>
      </x:c>
      <x:c r="Z74" s="57" t="str"/>
    </x:row>
    <x:row r="75" ht="46" customHeight="1">
      <x:c r="A75" s="57" t="str">
        <x:v>EX071</x:v>
      </x:c>
      <x:c r="B75" s="57" t="str">
        <x:v>에코바이크</x:v>
      </x:c>
      <x:c r="C75" s="57" t="str">
        <x:v>Echo Bike</x:v>
      </x:c>
      <x:c r="D75" s="57" t="str">
        <x:v>모노스트럭처럴</x:v>
      </x:c>
      <x:c r="E75" s="57" t="str">
        <x:v>사이클</x:v>
      </x:c>
      <x:c r="F75" s="57" t="str">
        <x:v>순환+전신</x:v>
      </x:c>
      <x:c r="G75" s="57" t="str">
        <x:v>컨디셔닝</x:v>
      </x:c>
      <x:c r="H75" s="57" t="str">
        <x:v>에어바이크</x:v>
      </x:c>
      <x:c r="I75" s="66" t="n">
        <x:v>1</x:v>
      </x:c>
      <x:c r="J75" s="66" t="n">
        <x:v>1</x:v>
      </x:c>
      <x:c r="K75" s="57" t="str">
        <x:v>낮음</x:v>
      </x:c>
      <x:c r="L75" s="57" t="str">
        <x:v>cal/분</x:v>
      </x:c>
      <x:c r="M75" s="57" t="str">
        <x:v>10초~40분</x:v>
      </x:c>
      <x:c r="N75" s="57" t="str">
        <x:v>개인 페이스</x:v>
      </x:c>
      <x:c r="O75" s="57" t="str">
        <x:v>하체만 쉬운 페달</x:v>
      </x:c>
      <x:c r="P75" s="57" t="str">
        <x:v>고출력 인터벌</x:v>
      </x:c>
      <x:c r="Q75" s="57" t="str">
        <x:v>무릎/어깨 통증</x:v>
      </x:c>
      <x:c r="R75" s="57" t="str">
        <x:v>S11</x:v>
      </x:c>
      <x:c r="S75" s="57" t="str">
        <x:v>https://www.crossfit.com/pro-coach/programming-basics-part-1</x:v>
      </x:c>
      <x:c r="T75" s="57" t="str">
        <x:v>N</x:v>
      </x:c>
      <x:c r="U75" s="66" t="n">
        <x:v>0</x:v>
      </x:c>
      <x:c r="V75" s="57" t="str"/>
      <x:c r="W75" s="57" t="str"/>
      <x:c r="X75" s="57" t="str"/>
      <x:c r="Y75" s="57" t="str">
        <x:v>https://www.crossfit.com/essentials/movements</x:v>
      </x:c>
      <x:c r="Z75" s="57" t="str"/>
    </x:row>
    <x:row r="76" ht="46" customHeight="1">
      <x:c r="A76" s="57" t="str">
        <x:v>EX072</x:v>
      </x:c>
      <x:c r="B76" s="57" t="str">
        <x:v>스키에르그</x:v>
      </x:c>
      <x:c r="C76" s="57" t="str">
        <x:v>Ski Erg</x:v>
      </x:c>
      <x:c r="D76" s="57" t="str">
        <x:v>모노스트럭처럴</x:v>
      </x:c>
      <x:c r="E76" s="57" t="str">
        <x:v>스키</x:v>
      </x:c>
      <x:c r="F76" s="57" t="str">
        <x:v>수직 당김+순환</x:v>
      </x:c>
      <x:c r="G76" s="57" t="str">
        <x:v>컨디셔닝</x:v>
      </x:c>
      <x:c r="H76" s="57" t="str">
        <x:v>스키에르그</x:v>
      </x:c>
      <x:c r="I76" s="66" t="n">
        <x:v>1</x:v>
      </x:c>
      <x:c r="J76" s="66" t="n">
        <x:v>1</x:v>
      </x:c>
      <x:c r="K76" s="57" t="str">
        <x:v>낮음</x:v>
      </x:c>
      <x:c r="L76" s="57" t="str">
        <x:v>m/cal/분</x:v>
      </x:c>
      <x:c r="M76" s="57" t="str">
        <x:v>10초~60분</x:v>
      </x:c>
      <x:c r="N76" s="57" t="str">
        <x:v>개인 페이스</x:v>
      </x:c>
      <x:c r="O76" s="57" t="str">
        <x:v>밴드 풀다운</x:v>
      </x:c>
      <x:c r="P76" s="57" t="str">
        <x:v>고출력 인터벌</x:v>
      </x:c>
      <x:c r="Q76" s="57" t="str">
        <x:v>어깨/요통</x:v>
      </x:c>
      <x:c r="R76" s="57" t="str">
        <x:v>S11</x:v>
      </x:c>
      <x:c r="S76" s="57" t="str">
        <x:v>https://www.crossfit.com/pro-coach/programming-basics-part-1</x:v>
      </x:c>
      <x:c r="T76" s="57" t="str">
        <x:v>N</x:v>
      </x:c>
      <x:c r="U76" s="66" t="n">
        <x:v>0</x:v>
      </x:c>
      <x:c r="V76" s="57" t="str"/>
      <x:c r="W76" s="57" t="str"/>
      <x:c r="X76" s="57" t="str"/>
      <x:c r="Y76" s="57" t="str">
        <x:v>https://www.crossfit.com/essentials/movements</x:v>
      </x:c>
      <x:c r="Z76" s="57" t="str"/>
    </x:row>
    <x:row r="77" ht="46" customHeight="1">
      <x:c r="A77" s="57" t="str">
        <x:v>EX073</x:v>
      </x:c>
      <x:c r="B77" s="57" t="str">
        <x:v>수영</x:v>
      </x:c>
      <x:c r="C77" s="57" t="str">
        <x:v>Swim</x:v>
      </x:c>
      <x:c r="D77" s="57" t="str">
        <x:v>모노스트럭처럴</x:v>
      </x:c>
      <x:c r="E77" s="57" t="str">
        <x:v>수영</x:v>
      </x:c>
      <x:c r="F77" s="57" t="str">
        <x:v>순환+전신</x:v>
      </x:c>
      <x:c r="G77" s="57" t="str">
        <x:v>컨디셔닝</x:v>
      </x:c>
      <x:c r="H77" s="57" t="str">
        <x:v>풀</x:v>
      </x:c>
      <x:c r="I77" s="66" t="n">
        <x:v>2</x:v>
      </x:c>
      <x:c r="J77" s="66" t="n">
        <x:v>3</x:v>
      </x:c>
      <x:c r="K77" s="57" t="str">
        <x:v>낮음</x:v>
      </x:c>
      <x:c r="L77" s="57" t="str">
        <x:v>m/분</x:v>
      </x:c>
      <x:c r="M77" s="57" t="str">
        <x:v>25m~60분</x:v>
      </x:c>
      <x:c r="N77" s="57" t="str">
        <x:v>개인 페이스</x:v>
      </x:c>
      <x:c r="O77" s="57" t="str">
        <x:v>아쿠아조깅</x:v>
      </x:c>
      <x:c r="P77" s="57" t="str">
        <x:v>인터벌</x:v>
      </x:c>
      <x:c r="Q77" s="57" t="str">
        <x:v>감독/수영능력 없음</x:v>
      </x:c>
      <x:c r="R77" s="57" t="str">
        <x:v>S11</x:v>
      </x:c>
      <x:c r="S77" s="57" t="str">
        <x:v>https://www.crossfit.com/pro-coach/programming-basics-part-1</x:v>
      </x:c>
      <x:c r="T77" s="57" t="str">
        <x:v>N</x:v>
      </x:c>
      <x:c r="U77" s="66" t="n">
        <x:v>0</x:v>
      </x:c>
      <x:c r="V77" s="57" t="str"/>
      <x:c r="W77" s="57" t="str"/>
      <x:c r="X77" s="57" t="str"/>
      <x:c r="Y77" s="57" t="str">
        <x:v>https://www.crossfit.com/essentials/movements</x:v>
      </x:c>
      <x:c r="Z77" s="57" t="str"/>
    </x:row>
    <x:row r="78" ht="46" customHeight="1">
      <x:c r="A78" s="57" t="str">
        <x:v>EX074</x:v>
      </x:c>
      <x:c r="B78" s="57" t="str">
        <x:v>파머 캐리</x:v>
      </x:c>
      <x:c r="C78" s="57" t="str">
        <x:v>Farmer Carry</x:v>
      </x:c>
      <x:c r="D78" s="57" t="str">
        <x:v>웨이트리프팅</x:v>
      </x:c>
      <x:c r="E78" s="57" t="str">
        <x:v>캐리</x:v>
      </x:c>
      <x:c r="F78" s="57" t="str">
        <x:v>그립+몸통+이동</x:v>
      </x:c>
      <x:c r="G78" s="57" t="str">
        <x:v>보조/메트콘</x:v>
      </x:c>
      <x:c r="H78" s="57" t="str">
        <x:v>덤벨/케틀벨</x:v>
      </x:c>
      <x:c r="I78" s="66" t="n">
        <x:v>1</x:v>
      </x:c>
      <x:c r="J78" s="66" t="n">
        <x:v>1</x:v>
      </x:c>
      <x:c r="K78" s="57" t="str">
        <x:v>낮음</x:v>
      </x:c>
      <x:c r="L78" s="57" t="str">
        <x:v>m/초</x:v>
      </x:c>
      <x:c r="M78" s="57" t="str">
        <x:v>3~6×20~60m</x:v>
      </x:c>
      <x:c r="N78" s="57" t="str">
        <x:v>중간~무거움</x:v>
      </x:c>
      <x:c r="O78" s="57" t="str">
        <x:v>가벼운 양손 캐리</x:v>
      </x:c>
      <x:c r="P78" s="57" t="str">
        <x:v>수트케이스 캐리</x:v>
      </x:c>
      <x:c r="Q78" s="57" t="str">
        <x:v>그립/요통</x:v>
      </x:c>
      <x:c r="R78" s="57" t="str">
        <x:v>S15</x:v>
      </x:c>
      <x:c r="S78" s="57" t="str">
        <x:v>https://www.crossfit.com/movements/</x:v>
      </x:c>
      <x:c r="T78" s="57" t="str">
        <x:v>N</x:v>
      </x:c>
      <x:c r="U78" s="66" t="n">
        <x:v>0</x:v>
      </x:c>
      <x:c r="V78" s="57" t="str"/>
      <x:c r="W78" s="57" t="str"/>
      <x:c r="X78" s="57" t="str"/>
      <x:c r="Y78" s="57" t="str">
        <x:v>https://www.crossfit.com/essentials/movements</x:v>
      </x:c>
      <x:c r="Z78" s="57" t="str"/>
    </x:row>
    <x:row r="79" ht="46" customHeight="1">
      <x:c r="A79" s="57" t="str">
        <x:v>EX075</x:v>
      </x:c>
      <x:c r="B79" s="57" t="str">
        <x:v>수트케이스 캐리</x:v>
      </x:c>
      <x:c r="C79" s="57" t="str">
        <x:v>Suitcase Carry</x:v>
      </x:c>
      <x:c r="D79" s="57" t="str">
        <x:v>웨이트리프팅</x:v>
      </x:c>
      <x:c r="E79" s="57" t="str">
        <x:v>캐리</x:v>
      </x:c>
      <x:c r="F79" s="57" t="str">
        <x:v>항측굴+이동</x:v>
      </x:c>
      <x:c r="G79" s="57" t="str">
        <x:v>보조</x:v>
      </x:c>
      <x:c r="H79" s="57" t="str">
        <x:v>덤벨/케틀벨</x:v>
      </x:c>
      <x:c r="I79" s="66" t="n">
        <x:v>1</x:v>
      </x:c>
      <x:c r="J79" s="66" t="n">
        <x:v>2</x:v>
      </x:c>
      <x:c r="K79" s="57" t="str">
        <x:v>낮음</x:v>
      </x:c>
      <x:c r="L79" s="57" t="str">
        <x:v>m/측</x:v>
      </x:c>
      <x:c r="M79" s="57" t="str">
        <x:v>3~5×20~50m</x:v>
      </x:c>
      <x:c r="N79" s="57" t="str">
        <x:v>중간</x:v>
      </x:c>
      <x:c r="O79" s="57" t="str">
        <x:v>양손 파머 캐리</x:v>
      </x:c>
      <x:c r="P79" s="57" t="str">
        <x:v>오버헤드 캐리</x:v>
      </x:c>
      <x:c r="Q79" s="57" t="str">
        <x:v>요통</x:v>
      </x:c>
      <x:c r="R79" s="57" t="str">
        <x:v>S15</x:v>
      </x:c>
      <x:c r="S79" s="57" t="str">
        <x:v>https://www.crossfit.com/movements/</x:v>
      </x:c>
      <x:c r="T79" s="57" t="str">
        <x:v>N</x:v>
      </x:c>
      <x:c r="U79" s="66" t="n">
        <x:v>0</x:v>
      </x:c>
      <x:c r="V79" s="57" t="str"/>
      <x:c r="W79" s="57" t="str"/>
      <x:c r="X79" s="57" t="str"/>
      <x:c r="Y79" s="57" t="str">
        <x:v>https://www.crossfit.com/essentials/movements</x:v>
      </x:c>
      <x:c r="Z79" s="57" t="str"/>
    </x:row>
    <x:row r="80" ht="46" customHeight="1">
      <x:c r="A80" s="57" t="str">
        <x:v>EX076</x:v>
      </x:c>
      <x:c r="B80" s="57" t="str">
        <x:v>프론트랙 캐리</x:v>
      </x:c>
      <x:c r="C80" s="57" t="str">
        <x:v>Front Rack Carry</x:v>
      </x:c>
      <x:c r="D80" s="57" t="str">
        <x:v>웨이트리프팅</x:v>
      </x:c>
      <x:c r="E80" s="57" t="str">
        <x:v>캐리</x:v>
      </x:c>
      <x:c r="F80" s="57" t="str">
        <x:v>프론트랙+몸통</x:v>
      </x:c>
      <x:c r="G80" s="57" t="str">
        <x:v>보조</x:v>
      </x:c>
      <x:c r="H80" s="57" t="str">
        <x:v>덤벨/케틀벨/바벨</x:v>
      </x:c>
      <x:c r="I80" s="66" t="n">
        <x:v>1</x:v>
      </x:c>
      <x:c r="J80" s="66" t="n">
        <x:v>2</x:v>
      </x:c>
      <x:c r="K80" s="57" t="str">
        <x:v>낮음</x:v>
      </x:c>
      <x:c r="L80" s="57" t="str">
        <x:v>m/초</x:v>
      </x:c>
      <x:c r="M80" s="57" t="str">
        <x:v>3~5×20~50m</x:v>
      </x:c>
      <x:c r="N80" s="57" t="str">
        <x:v>중간</x:v>
      </x:c>
      <x:c r="O80" s="57" t="str">
        <x:v>고블릿 캐리</x:v>
      </x:c>
      <x:c r="P80" s="57" t="str">
        <x:v>더블KB/바벨 캐리</x:v>
      </x:c>
      <x:c r="Q80" s="57" t="str">
        <x:v>손목/호흡 제한</x:v>
      </x:c>
      <x:c r="R80" s="57" t="str">
        <x:v>S15</x:v>
      </x:c>
      <x:c r="S80" s="57" t="str">
        <x:v>https://www.crossfit.com/movements/</x:v>
      </x:c>
      <x:c r="T80" s="57" t="str">
        <x:v>N</x:v>
      </x:c>
      <x:c r="U80" s="66" t="n">
        <x:v>0</x:v>
      </x:c>
      <x:c r="V80" s="57" t="str"/>
      <x:c r="W80" s="57" t="str"/>
      <x:c r="X80" s="57" t="str"/>
      <x:c r="Y80" s="57" t="str">
        <x:v>https://www.crossfit.com/essentials/movements</x:v>
      </x:c>
      <x:c r="Z80" s="57" t="str"/>
    </x:row>
    <x:row r="81" ht="46" customHeight="1">
      <x:c r="A81" s="57" t="str">
        <x:v>EX077</x:v>
      </x:c>
      <x:c r="B81" s="57" t="str">
        <x:v>오버헤드 캐리</x:v>
      </x:c>
      <x:c r="C81" s="57" t="str">
        <x:v>Overhead Carry</x:v>
      </x:c>
      <x:c r="D81" s="57" t="str">
        <x:v>웨이트리프팅</x:v>
      </x:c>
      <x:c r="E81" s="57" t="str">
        <x:v>캐리</x:v>
      </x:c>
      <x:c r="F81" s="57" t="str">
        <x:v>오버헤드 안정+이동</x:v>
      </x:c>
      <x:c r="G81" s="57" t="str">
        <x:v>보조</x:v>
      </x:c>
      <x:c r="H81" s="57" t="str">
        <x:v>덤벨/케틀벨</x:v>
      </x:c>
      <x:c r="I81" s="66" t="n">
        <x:v>2</x:v>
      </x:c>
      <x:c r="J81" s="66" t="n">
        <x:v>3</x:v>
      </x:c>
      <x:c r="K81" s="57" t="str">
        <x:v>낮음</x:v>
      </x:c>
      <x:c r="L81" s="57" t="str">
        <x:v>m/측</x:v>
      </x:c>
      <x:c r="M81" s="57" t="str">
        <x:v>3~5×15~40m</x:v>
      </x:c>
      <x:c r="N81" s="57" t="str">
        <x:v>가벼움~중간</x:v>
      </x:c>
      <x:c r="O81" s="57" t="str">
        <x:v>프론트랙 캐리</x:v>
      </x:c>
      <x:c r="P81" s="57" t="str">
        <x:v>싱글암 KB 오버헤드 캐리</x:v>
      </x:c>
      <x:c r="Q81" s="57" t="str">
        <x:v>어깨 통증</x:v>
      </x:c>
      <x:c r="R81" s="57" t="str">
        <x:v>S15</x:v>
      </x:c>
      <x:c r="S81" s="57" t="str">
        <x:v>https://www.crossfit.com/movements/</x:v>
      </x:c>
      <x:c r="T81" s="57" t="str">
        <x:v>N</x:v>
      </x:c>
      <x:c r="U81" s="66" t="n">
        <x:v>0</x:v>
      </x:c>
      <x:c r="V81" s="57" t="str"/>
      <x:c r="W81" s="57" t="str"/>
      <x:c r="X81" s="57" t="str"/>
      <x:c r="Y81" s="57" t="str">
        <x:v>https://www.crossfit.com/essentials/movements</x:v>
      </x:c>
      <x:c r="Z81" s="57" t="str"/>
    </x:row>
    <x:row r="82" ht="46" customHeight="1">
      <x:c r="A82" s="57" t="str">
        <x:v>EX078</x:v>
      </x:c>
      <x:c r="B82" s="57" t="str">
        <x:v>슬레드 푸시</x:v>
      </x:c>
      <x:c r="C82" s="57" t="str">
        <x:v>Sled Push</x:v>
      </x:c>
      <x:c r="D82" s="57" t="str">
        <x:v>웨이트리프팅</x:v>
      </x:c>
      <x:c r="E82" s="57" t="str">
        <x:v>슬레드</x:v>
      </x:c>
      <x:c r="F82" s="57" t="str">
        <x:v>하지 밀기+순환</x:v>
      </x:c>
      <x:c r="G82" s="57" t="str">
        <x:v>근력/컨디셔닝</x:v>
      </x:c>
      <x:c r="H82" s="57" t="str">
        <x:v>슬레드</x:v>
      </x:c>
      <x:c r="I82" s="66" t="n">
        <x:v>1</x:v>
      </x:c>
      <x:c r="J82" s="66" t="n">
        <x:v>1</x:v>
      </x:c>
      <x:c r="K82" s="57" t="str">
        <x:v>낮음</x:v>
      </x:c>
      <x:c r="L82" s="57" t="str">
        <x:v>m/초</x:v>
      </x:c>
      <x:c r="M82" s="57" t="str">
        <x:v>4~10×10~30m</x:v>
      </x:c>
      <x:c r="N82" s="57" t="str">
        <x:v>중간~무거움</x:v>
      </x:c>
      <x:c r="O82" s="57" t="str">
        <x:v>가벼운 슬레드</x:v>
      </x:c>
      <x:c r="P82" s="57" t="str">
        <x:v>헤비/스프린트 슬레드</x:v>
      </x:c>
      <x:c r="Q82" s="57" t="str">
        <x:v>급성 무릎 통증</x:v>
      </x:c>
      <x:c r="R82" s="57" t="str">
        <x:v>S15</x:v>
      </x:c>
      <x:c r="S82" s="57" t="str">
        <x:v>https://www.crossfit.com/movements/</x:v>
      </x:c>
      <x:c r="T82" s="57" t="str">
        <x:v>N</x:v>
      </x:c>
      <x:c r="U82" s="66" t="n">
        <x:v>0</x:v>
      </x:c>
      <x:c r="V82" s="57" t="str"/>
      <x:c r="W82" s="57" t="str"/>
      <x:c r="X82" s="57" t="str"/>
      <x:c r="Y82" s="57" t="str">
        <x:v>https://www.crossfit.com/essentials/movements</x:v>
      </x:c>
      <x:c r="Z82" s="57" t="str"/>
    </x:row>
    <x:row r="83" ht="46" customHeight="1">
      <x:c r="A83" s="57" t="str">
        <x:v>EX079</x:v>
      </x:c>
      <x:c r="B83" s="57" t="str">
        <x:v>슬레드 풀</x:v>
      </x:c>
      <x:c r="C83" s="57" t="str">
        <x:v>Sled Pull</x:v>
      </x:c>
      <x:c r="D83" s="57" t="str">
        <x:v>웨이트리프팅</x:v>
      </x:c>
      <x:c r="E83" s="57" t="str">
        <x:v>슬레드</x:v>
      </x:c>
      <x:c r="F83" s="57" t="str">
        <x:v>당김+이동</x:v>
      </x:c>
      <x:c r="G83" s="57" t="str">
        <x:v>근력/컨디셔닝</x:v>
      </x:c>
      <x:c r="H83" s="57" t="str">
        <x:v>슬레드/로프</x:v>
      </x:c>
      <x:c r="I83" s="66" t="n">
        <x:v>1</x:v>
      </x:c>
      <x:c r="J83" s="66" t="n">
        <x:v>1</x:v>
      </x:c>
      <x:c r="K83" s="57" t="str">
        <x:v>낮음</x:v>
      </x:c>
      <x:c r="L83" s="57" t="str">
        <x:v>m/초</x:v>
      </x:c>
      <x:c r="M83" s="57" t="str">
        <x:v>4~10×10~30m</x:v>
      </x:c>
      <x:c r="N83" s="57" t="str">
        <x:v>중간~무거움</x:v>
      </x:c>
      <x:c r="O83" s="57" t="str">
        <x:v>가벼운 백워드 드래그</x:v>
      </x:c>
      <x:c r="P83" s="57" t="str">
        <x:v>핸드오버핸드 풀</x:v>
      </x:c>
      <x:c r="Q83" s="57" t="str">
        <x:v>요통/그립 통증</x:v>
      </x:c>
      <x:c r="R83" s="57" t="str">
        <x:v>S15</x:v>
      </x:c>
      <x:c r="S83" s="57" t="str">
        <x:v>https://www.crossfit.com/movements/</x:v>
      </x:c>
      <x:c r="T83" s="57" t="str">
        <x:v>N</x:v>
      </x:c>
      <x:c r="U83" s="66" t="n">
        <x:v>0</x:v>
      </x:c>
      <x:c r="V83" s="57" t="str"/>
      <x:c r="W83" s="57" t="str"/>
      <x:c r="X83" s="57" t="str"/>
      <x:c r="Y83" s="57" t="str">
        <x:v>https://www.crossfit.com/essentials/movements</x:v>
      </x:c>
      <x:c r="Z83" s="57" t="str"/>
    </x:row>
    <x:row r="84" ht="46" customHeight="1">
      <x:c r="A84" s="57" t="str">
        <x:v>EX080</x:v>
      </x:c>
      <x:c r="B84" s="57" t="str">
        <x:v>샌드백 클린</x:v>
      </x:c>
      <x:c r="C84" s="57" t="str">
        <x:v>Sandbag Clean</x:v>
      </x:c>
      <x:c r="D84" s="57" t="str">
        <x:v>웨이트리프팅</x:v>
      </x:c>
      <x:c r="E84" s="57" t="str">
        <x:v>비정형 물체</x:v>
      </x:c>
      <x:c r="F84" s="57" t="str">
        <x:v>힌지+당김+받기</x:v>
      </x:c>
      <x:c r="G84" s="57" t="str">
        <x:v>근력/메트콘</x:v>
      </x:c>
      <x:c r="H84" s="57" t="str">
        <x:v>샌드백</x:v>
      </x:c>
      <x:c r="I84" s="66" t="n">
        <x:v>1</x:v>
      </x:c>
      <x:c r="J84" s="66" t="n">
        <x:v>2</x:v>
      </x:c>
      <x:c r="K84" s="57" t="str">
        <x:v>중간</x:v>
      </x:c>
      <x:c r="L84" s="57" t="str">
        <x:v>회</x:v>
      </x:c>
      <x:c r="M84" s="57" t="str">
        <x:v>3~10/세트</x:v>
      </x:c>
      <x:c r="N84" s="57" t="str">
        <x:v>중간~무거움</x:v>
      </x:c>
      <x:c r="O84" s="57" t="str">
        <x:v>샌드백 데드리프트</x:v>
      </x:c>
      <x:c r="P84" s="57" t="str">
        <x:v>숄더링</x:v>
      </x:c>
      <x:c r="Q84" s="57" t="str">
        <x:v>급성 요통</x:v>
      </x:c>
      <x:c r="R84" s="57" t="str">
        <x:v>S15</x:v>
      </x:c>
      <x:c r="S84" s="57" t="str">
        <x:v>https://www.crossfit.com/movements/</x:v>
      </x:c>
      <x:c r="T84" s="57" t="str">
        <x:v>N</x:v>
      </x:c>
      <x:c r="U84" s="66" t="n">
        <x:v>0</x:v>
      </x:c>
      <x:c r="V84" s="57" t="str"/>
      <x:c r="W84" s="57" t="str"/>
      <x:c r="X84" s="57" t="str"/>
      <x:c r="Y84" s="57" t="str">
        <x:v>https://www.crossfit.com/essentials/movements</x:v>
      </x:c>
      <x:c r="Z84" s="57" t="str"/>
    </x:row>
    <x:row r="85" ht="46" customHeight="1">
      <x:c r="A85" s="57" t="str">
        <x:v>EX081</x:v>
      </x:c>
      <x:c r="B85" s="57" t="str">
        <x:v>샌드백 캐리</x:v>
      </x:c>
      <x:c r="C85" s="57" t="str">
        <x:v>Sandbag Carry</x:v>
      </x:c>
      <x:c r="D85" s="57" t="str">
        <x:v>웨이트리프팅</x:v>
      </x:c>
      <x:c r="E85" s="57" t="str">
        <x:v>비정형 물체</x:v>
      </x:c>
      <x:c r="F85" s="57" t="str">
        <x:v>캐리+몸통</x:v>
      </x:c>
      <x:c r="G85" s="57" t="str">
        <x:v>메트콘</x:v>
      </x:c>
      <x:c r="H85" s="57" t="str">
        <x:v>샌드백</x:v>
      </x:c>
      <x:c r="I85" s="66" t="n">
        <x:v>1</x:v>
      </x:c>
      <x:c r="J85" s="66" t="n">
        <x:v>1</x:v>
      </x:c>
      <x:c r="K85" s="57" t="str">
        <x:v>낮음</x:v>
      </x:c>
      <x:c r="L85" s="57" t="str">
        <x:v>m/초</x:v>
      </x:c>
      <x:c r="M85" s="57" t="str">
        <x:v>20~200m</x:v>
      </x:c>
      <x:c r="N85" s="57" t="str">
        <x:v>중간~무거움</x:v>
      </x:c>
      <x:c r="O85" s="57" t="str">
        <x:v>가벼운 베어허그 캐리</x:v>
      </x:c>
      <x:c r="P85" s="57" t="str">
        <x:v>숄더 캐리</x:v>
      </x:c>
      <x:c r="Q85" s="57" t="str">
        <x:v>호흡/요통 제한</x:v>
      </x:c>
      <x:c r="R85" s="57" t="str">
        <x:v>S15</x:v>
      </x:c>
      <x:c r="S85" s="57" t="str">
        <x:v>https://www.crossfit.com/movements/</x:v>
      </x:c>
      <x:c r="T85" s="57" t="str">
        <x:v>N</x:v>
      </x:c>
      <x:c r="U85" s="66" t="n">
        <x:v>0</x:v>
      </x:c>
      <x:c r="V85" s="57" t="str"/>
      <x:c r="W85" s="57" t="str"/>
      <x:c r="X85" s="57" t="str"/>
      <x:c r="Y85" s="57" t="str">
        <x:v>https://www.crossfit.com/essentials/movements</x:v>
      </x:c>
      <x:c r="Z85" s="57" t="str"/>
    </x:row>
    <x:row r="86" ht="46" customHeight="1">
      <x:c r="A86" s="57" t="str">
        <x:v>EX082</x:v>
      </x:c>
      <x:c r="B86" s="57" t="str">
        <x:v>월볼샷</x:v>
      </x:c>
      <x:c r="C86" s="57" t="str">
        <x:v>Wall-ball Shot</x:v>
      </x:c>
      <x:c r="D86" s="57" t="str">
        <x:v>웨이트리프팅</x:v>
      </x:c>
      <x:c r="E86" s="57" t="str">
        <x:v>혼합</x:v>
      </x:c>
      <x:c r="F86" s="57" t="str">
        <x:v>스쿼트+수직 밀기</x:v>
      </x:c>
      <x:c r="G86" s="57" t="str">
        <x:v>메트콘</x:v>
      </x:c>
      <x:c r="H86" s="57" t="str">
        <x:v>메디신볼/타깃</x:v>
      </x:c>
      <x:c r="I86" s="66" t="n">
        <x:v>1</x:v>
      </x:c>
      <x:c r="J86" s="66" t="n">
        <x:v>2</x:v>
      </x:c>
      <x:c r="K86" s="57" t="str">
        <x:v>중간</x:v>
      </x:c>
      <x:c r="L86" s="57" t="str">
        <x:v>회</x:v>
      </x:c>
      <x:c r="M86" s="57" t="str">
        <x:v>10~30/세트</x:v>
      </x:c>
      <x:c r="N86" s="57" t="str">
        <x:v>가벼움~중간</x:v>
      </x:c>
      <x:c r="O86" s="57" t="str">
        <x:v>낮은 타깃/가벼운 볼</x:v>
      </x:c>
      <x:c r="P86" s="57" t="str">
        <x:v>더 높은 타깃</x:v>
      </x:c>
      <x:c r="Q86" s="57" t="str">
        <x:v>무릎/어깨 통증</x:v>
      </x:c>
      <x:c r="R86" s="57" t="str">
        <x:v>S15</x:v>
      </x:c>
      <x:c r="S86" s="57" t="str">
        <x:v>https://www.crossfit.com/movements/</x:v>
      </x:c>
      <x:c r="T86" s="57" t="str">
        <x:v>Y</x:v>
      </x:c>
      <x:c r="U86" s="66" t="n">
        <x:v>5</x:v>
      </x:c>
      <x:c r="V86" s="57" t="str">
        <x:v>2017, 2019, 2020, 2023, 2026</x:v>
      </x:c>
      <x:c r="W86" s="57" t="str">
        <x:v>17.4, 19.1, 20.5, 23.1, 26.1</x:v>
      </x:c>
      <x:c r="X86" s="57" t="n">
        <x:v>2026</x:v>
      </x:c>
      <x:c r="Y86" s="57" t="str">
        <x:v>https://www.crossfit.com/essentials/movements</x:v>
      </x:c>
      <x:c r="Z86" s="57" t="str"/>
    </x:row>
    <x:row r="87" ht="46" customHeight="1">
      <x:c r="A87" s="57" t="str">
        <x:v>EX083</x:v>
      </x:c>
      <x:c r="B87" s="57" t="str">
        <x:v>메디신볼 클린</x:v>
      </x:c>
      <x:c r="C87" s="57" t="str">
        <x:v>Medicine-ball Clean</x:v>
      </x:c>
      <x:c r="D87" s="57" t="str">
        <x:v>웨이트리프팅</x:v>
      </x:c>
      <x:c r="E87" s="57" t="str">
        <x:v>혼합</x:v>
      </x:c>
      <x:c r="F87" s="57" t="str">
        <x:v>힌지+프론트 스쿼트</x:v>
      </x:c>
      <x:c r="G87" s="57" t="str">
        <x:v>학습/메트콘</x:v>
      </x:c>
      <x:c r="H87" s="57" t="str">
        <x:v>메디신볼</x:v>
      </x:c>
      <x:c r="I87" s="66" t="n">
        <x:v>1</x:v>
      </x:c>
      <x:c r="J87" s="66" t="n">
        <x:v>1</x:v>
      </x:c>
      <x:c r="K87" s="57" t="str">
        <x:v>낮음</x:v>
      </x:c>
      <x:c r="L87" s="57" t="str">
        <x:v>회</x:v>
      </x:c>
      <x:c r="M87" s="57" t="str">
        <x:v>3~5×5~15</x:v>
      </x:c>
      <x:c r="N87" s="57" t="str">
        <x:v>가벼움</x:v>
      </x:c>
      <x:c r="O87" s="57" t="str">
        <x:v>메드볼 데드리프트</x:v>
      </x:c>
      <x:c r="P87" s="57" t="str">
        <x:v>덤벨/바벨 클린</x:v>
      </x:c>
      <x:c r="Q87" s="57" t="str">
        <x:v>요통/무릎 통증</x:v>
      </x:c>
      <x:c r="R87" s="57" t="str">
        <x:v>S15</x:v>
      </x:c>
      <x:c r="S87" s="57" t="str">
        <x:v>https://www.crossfit.com/movements/</x:v>
      </x:c>
      <x:c r="T87" s="57" t="str">
        <x:v>N</x:v>
      </x:c>
      <x:c r="U87" s="66" t="n">
        <x:v>0</x:v>
      </x:c>
      <x:c r="V87" s="57" t="str"/>
      <x:c r="W87" s="57" t="str"/>
      <x:c r="X87" s="57" t="str"/>
      <x:c r="Y87" s="57" t="str">
        <x:v>https://www.crossfit.com/essentials/movements</x:v>
      </x:c>
      <x:c r="Z87" s="57" t="str">
        <x:v>https://www.youtube.com/watch?v=-nk0GqeSTJs</x:v>
      </x:c>
    </x:row>
    <x:row r="88" ht="46" customHeight="1">
      <x:c r="A88" s="57" t="str">
        <x:v>EX084</x:v>
      </x:c>
      <x:c r="B88" s="57" t="str">
        <x:v>스러스터</x:v>
      </x:c>
      <x:c r="C88" s="57" t="str">
        <x:v>Thruster</x:v>
      </x:c>
      <x:c r="D88" s="57" t="str">
        <x:v>웨이트리프팅</x:v>
      </x:c>
      <x:c r="E88" s="57" t="str">
        <x:v>혼합</x:v>
      </x:c>
      <x:c r="F88" s="57" t="str">
        <x:v>프론트 스쿼트+오버헤드</x:v>
      </x:c>
      <x:c r="G88" s="57" t="str">
        <x:v>메트콘</x:v>
      </x:c>
      <x:c r="H88" s="57" t="str">
        <x:v>바벨/덤벨</x:v>
      </x:c>
      <x:c r="I88" s="66" t="n">
        <x:v>1</x:v>
      </x:c>
      <x:c r="J88" s="66" t="n">
        <x:v>3</x:v>
      </x:c>
      <x:c r="K88" s="57" t="str">
        <x:v>중간</x:v>
      </x:c>
      <x:c r="L88" s="57" t="str">
        <x:v>회</x:v>
      </x:c>
      <x:c r="M88" s="57" t="str">
        <x:v>5~20/세트</x:v>
      </x:c>
      <x:c r="N88" s="57" t="str">
        <x:v>가벼움~중간</x:v>
      </x:c>
      <x:c r="O88" s="57" t="str">
        <x:v>DB/가벼운 스러스터</x:v>
      </x:c>
      <x:c r="P88" s="57" t="str">
        <x:v>클러스터</x:v>
      </x:c>
      <x:c r="Q88" s="57" t="str">
        <x:v>무릎/어깨 통증</x:v>
      </x:c>
      <x:c r="R88" s="57" t="str">
        <x:v>S15</x:v>
      </x:c>
      <x:c r="S88" s="57" t="str">
        <x:v>https://www.crossfit.com/movements/</x:v>
      </x:c>
      <x:c r="T88" s="57" t="str">
        <x:v>Y</x:v>
      </x:c>
      <x:c r="U88" s="66" t="n">
        <x:v>9</x:v>
      </x:c>
      <x:c r="V88" s="57" t="str">
        <x:v>2017, 2018, 2019, 2021, 2022, 2023, 2024, 2025, 2026</x:v>
      </x:c>
      <x:c r="W88" s="57" t="str">
        <x:v>17.5, 18.5, 19.5, 21.3, 22.3, 23.2A + 23.2B, 24.3, 25.2, 26.3</x:v>
      </x:c>
      <x:c r="X88" s="57" t="n">
        <x:v>2026</x:v>
      </x:c>
      <x:c r="Y88" s="57" t="str">
        <x:v>https://www.crossfit.com/essentials/movements</x:v>
      </x:c>
      <x:c r="Z88" s="57" t="str">
        <x:v>https://www.youtube.com/watch?v=aea5BGj9a8Y</x:v>
      </x:c>
    </x:row>
    <x:row r="89" ht="46" customHeight="1">
      <x:c r="A89" s="57" t="str">
        <x:v>EX085</x:v>
      </x:c>
      <x:c r="B89" s="57" t="str">
        <x:v>덤벨 스내치</x:v>
      </x:c>
      <x:c r="C89" s="57" t="str">
        <x:v>Dumbbell Snatch</x:v>
      </x:c>
      <x:c r="D89" s="57" t="str">
        <x:v>웨이트리프팅</x:v>
      </x:c>
      <x:c r="E89" s="57" t="str">
        <x:v>혼합</x:v>
      </x:c>
      <x:c r="F89" s="57" t="str">
        <x:v>힌지+편측 오버헤드</x:v>
      </x:c>
      <x:c r="G89" s="57" t="str">
        <x:v>메트콘</x:v>
      </x:c>
      <x:c r="H89" s="57" t="str">
        <x:v>덤벨</x:v>
      </x:c>
      <x:c r="I89" s="66" t="n">
        <x:v>1</x:v>
      </x:c>
      <x:c r="J89" s="66" t="n">
        <x:v>2</x:v>
      </x:c>
      <x:c r="K89" s="57" t="str">
        <x:v>중간</x:v>
      </x:c>
      <x:c r="L89" s="57" t="str">
        <x:v>회</x:v>
      </x:c>
      <x:c r="M89" s="57" t="str">
        <x:v>6~20/세트</x:v>
      </x:c>
      <x:c r="N89" s="57" t="str">
        <x:v>가벼움~중간</x:v>
      </x:c>
      <x:c r="O89" s="57" t="str">
        <x:v>행 DB 스내치</x:v>
      </x:c>
      <x:c r="P89" s="57" t="str">
        <x:v>바벨 파워 스내치</x:v>
      </x:c>
      <x:c r="Q89" s="57" t="str">
        <x:v>어깨/요통</x:v>
      </x:c>
      <x:c r="R89" s="57" t="str">
        <x:v>S15</x:v>
      </x:c>
      <x:c r="S89" s="57" t="str">
        <x:v>https://www.crossfit.com/movements/</x:v>
      </x:c>
      <x:c r="T89" s="57" t="str">
        <x:v>Y</x:v>
      </x:c>
      <x:c r="U89" s="66" t="n">
        <x:v>6</x:v>
      </x:c>
      <x:c r="V89" s="57" t="str">
        <x:v>2017, 2018, 2021, 2022, 2024, 2026</x:v>
      </x:c>
      <x:c r="W89" s="57" t="str">
        <x:v>17.1, 18.3, 21.2, 22.1, 24.1, 26.2</x:v>
      </x:c>
      <x:c r="X89" s="57" t="n">
        <x:v>2026</x:v>
      </x:c>
      <x:c r="Y89" s="57" t="str">
        <x:v>https://www.crossfit.com/essentials/movements</x:v>
      </x:c>
      <x:c r="Z89" s="57" t="str"/>
    </x:row>
    <x:row r="90" ht="46" customHeight="1">
      <x:c r="A90" s="57" t="str">
        <x:v>EX086</x:v>
      </x:c>
      <x:c r="B90" s="57" t="str">
        <x:v>케틀벨 클린</x:v>
      </x:c>
      <x:c r="C90" s="57" t="str">
        <x:v>Kettlebell Clean</x:v>
      </x:c>
      <x:c r="D90" s="57" t="str">
        <x:v>웨이트리프팅</x:v>
      </x:c>
      <x:c r="E90" s="57" t="str">
        <x:v>혼합</x:v>
      </x:c>
      <x:c r="F90" s="57" t="str">
        <x:v>힌지+프론트랙</x:v>
      </x:c>
      <x:c r="G90" s="57" t="str">
        <x:v>기술/메트콘</x:v>
      </x:c>
      <x:c r="H90" s="57" t="str">
        <x:v>케틀벨</x:v>
      </x:c>
      <x:c r="I90" s="66" t="n">
        <x:v>1</x:v>
      </x:c>
      <x:c r="J90" s="66" t="n">
        <x:v>2</x:v>
      </x:c>
      <x:c r="K90" s="57" t="str">
        <x:v>낮음</x:v>
      </x:c>
      <x:c r="L90" s="57" t="str">
        <x:v>회/측</x:v>
      </x:c>
      <x:c r="M90" s="57" t="str">
        <x:v>3~5×5~10</x:v>
      </x:c>
      <x:c r="N90" s="57" t="str">
        <x:v>가벼움~중간</x:v>
      </x:c>
      <x:c r="O90" s="57" t="str">
        <x:v>KB 데드리프트+하이풀</x:v>
      </x:c>
      <x:c r="P90" s="57" t="str">
        <x:v>더블KB 클린</x:v>
      </x:c>
      <x:c r="Q90" s="57" t="str">
        <x:v>손목/요통</x:v>
      </x:c>
      <x:c r="R90" s="57" t="str">
        <x:v>S15</x:v>
      </x:c>
      <x:c r="S90" s="57" t="str">
        <x:v>https://www.crossfit.com/movements/</x:v>
      </x:c>
      <x:c r="T90" s="57" t="str">
        <x:v>N</x:v>
      </x:c>
      <x:c r="U90" s="66" t="n">
        <x:v>0</x:v>
      </x:c>
      <x:c r="V90" s="57" t="str"/>
      <x:c r="W90" s="57" t="str"/>
      <x:c r="X90" s="57" t="str"/>
      <x:c r="Y90" s="57" t="str">
        <x:v>https://www.crossfit.com/essentials/movements</x:v>
      </x:c>
      <x:c r="Z90" s="57" t="str"/>
    </x:row>
    <x:row r="91" ht="46" customHeight="1">
      <x:c r="A91" s="57" t="str">
        <x:v>EX087</x:v>
      </x:c>
      <x:c r="B91" s="57" t="str">
        <x:v>터키시 겟업</x:v>
      </x:c>
      <x:c r="C91" s="57" t="str">
        <x:v>Turkish Get-up</x:v>
      </x:c>
      <x:c r="D91" s="57" t="str">
        <x:v>웨이트리프팅</x:v>
      </x:c>
      <x:c r="E91" s="57" t="str">
        <x:v>안정성</x:v>
      </x:c>
      <x:c r="F91" s="57" t="str">
        <x:v>오버헤드+바닥 기립</x:v>
      </x:c>
      <x:c r="G91" s="57" t="str">
        <x:v>기술/보조</x:v>
      </x:c>
      <x:c r="H91" s="57" t="str">
        <x:v>케틀벨/덤벨</x:v>
      </x:c>
      <x:c r="I91" s="66" t="n">
        <x:v>1</x:v>
      </x:c>
      <x:c r="J91" s="66" t="n">
        <x:v>3</x:v>
      </x:c>
      <x:c r="K91" s="57" t="str">
        <x:v>낮음</x:v>
      </x:c>
      <x:c r="L91" s="57" t="str">
        <x:v>회/측</x:v>
      </x:c>
      <x:c r="M91" s="57" t="str">
        <x:v>2~5×1~3</x:v>
      </x:c>
      <x:c r="N91" s="57" t="str">
        <x:v>가벼움~중간</x:v>
      </x:c>
      <x:c r="O91" s="57" t="str">
        <x:v>신발/PVC TGU</x:v>
      </x:c>
      <x:c r="P91" s="57" t="str">
        <x:v>헤비 TGU</x:v>
      </x:c>
      <x:c r="Q91" s="57" t="str">
        <x:v>어깨/어지럼</x:v>
      </x:c>
      <x:c r="R91" s="57" t="str">
        <x:v>S15</x:v>
      </x:c>
      <x:c r="S91" s="57" t="str">
        <x:v>https://www.crossfit.com/movements/</x:v>
      </x:c>
      <x:c r="T91" s="57" t="str">
        <x:v>N</x:v>
      </x:c>
      <x:c r="U91" s="66" t="n">
        <x:v>0</x:v>
      </x:c>
      <x:c r="V91" s="57" t="str"/>
      <x:c r="W91" s="57" t="str"/>
      <x:c r="X91" s="57" t="str"/>
      <x:c r="Y91" s="57" t="str">
        <x:v>https://www.crossfit.com/essentials/movements</x:v>
      </x:c>
      <x:c r="Z91" s="57" t="str"/>
    </x:row>
    <x:row r="92" ht="46" customHeight="1">
      <x:c r="A92" s="57" t="str">
        <x:v>EX088</x:v>
      </x:c>
      <x:c r="B92" s="57" t="str">
        <x:v>플랭크</x:v>
      </x:c>
      <x:c r="C92" s="57" t="str">
        <x:v>Plank</x:v>
      </x:c>
      <x:c r="D92" s="57" t="str">
        <x:v>체조</x:v>
      </x:c>
      <x:c r="E92" s="57" t="str">
        <x:v>몸통</x:v>
      </x:c>
      <x:c r="F92" s="57" t="str">
        <x:v>항신전</x:v>
      </x:c>
      <x:c r="G92" s="57" t="str">
        <x:v>보조</x:v>
      </x:c>
      <x:c r="H92" s="57" t="str">
        <x:v>매트</x:v>
      </x:c>
      <x:c r="I92" s="66" t="n">
        <x:v>1</x:v>
      </x:c>
      <x:c r="J92" s="66" t="n">
        <x:v>1</x:v>
      </x:c>
      <x:c r="K92" s="57" t="str">
        <x:v>낮음</x:v>
      </x:c>
      <x:c r="L92" s="57" t="str">
        <x:v>초</x:v>
      </x:c>
      <x:c r="M92" s="57" t="str">
        <x:v>3~5×20~60초</x:v>
      </x:c>
      <x:c r="N92" s="57" t="str">
        <x:v>체중</x:v>
      </x:c>
      <x:c r="O92" s="57" t="str">
        <x:v>인클라인 플랭크</x:v>
      </x:c>
      <x:c r="P92" s="57" t="str">
        <x:v>가중/롱레버 플랭크</x:v>
      </x:c>
      <x:c r="Q92" s="57" t="str">
        <x:v>급성 요통</x:v>
      </x:c>
      <x:c r="R92" s="57" t="str">
        <x:v>S15</x:v>
      </x:c>
      <x:c r="S92" s="57" t="str">
        <x:v>https://www.crossfit.com/movements/</x:v>
      </x:c>
      <x:c r="T92" s="57" t="str">
        <x:v>N</x:v>
      </x:c>
      <x:c r="U92" s="66" t="n">
        <x:v>0</x:v>
      </x:c>
      <x:c r="V92" s="57" t="str"/>
      <x:c r="W92" s="57" t="str"/>
      <x:c r="X92" s="57" t="str"/>
      <x:c r="Y92" s="57" t="str">
        <x:v>https://www.crossfit.com/essentials/movements</x:v>
      </x:c>
      <x:c r="Z92" s="57" t="str"/>
    </x:row>
    <x:row r="93" ht="46" customHeight="1">
      <x:c r="A93" s="57" t="str">
        <x:v>EX089</x:v>
      </x:c>
      <x:c r="B93" s="57" t="str">
        <x:v>사이드 플랭크</x:v>
      </x:c>
      <x:c r="C93" s="57" t="str">
        <x:v>Side Plank</x:v>
      </x:c>
      <x:c r="D93" s="57" t="str">
        <x:v>체조</x:v>
      </x:c>
      <x:c r="E93" s="57" t="str">
        <x:v>몸통</x:v>
      </x:c>
      <x:c r="F93" s="57" t="str">
        <x:v>항측굴</x:v>
      </x:c>
      <x:c r="G93" s="57" t="str">
        <x:v>보조</x:v>
      </x:c>
      <x:c r="H93" s="57" t="str">
        <x:v>매트</x:v>
      </x:c>
      <x:c r="I93" s="66" t="n">
        <x:v>1</x:v>
      </x:c>
      <x:c r="J93" s="66" t="n">
        <x:v>1</x:v>
      </x:c>
      <x:c r="K93" s="57" t="str">
        <x:v>낮음</x:v>
      </x:c>
      <x:c r="L93" s="57" t="str">
        <x:v>초/측</x:v>
      </x:c>
      <x:c r="M93" s="57" t="str">
        <x:v>3~5×15~45초</x:v>
      </x:c>
      <x:c r="N93" s="57" t="str">
        <x:v>체중</x:v>
      </x:c>
      <x:c r="O93" s="57" t="str">
        <x:v>무릎 사이드 플랭크</x:v>
      </x:c>
      <x:c r="P93" s="57" t="str">
        <x:v>코펜하겐 플랭크</x:v>
      </x:c>
      <x:c r="Q93" s="57" t="str">
        <x:v>어깨/내전근 통증</x:v>
      </x:c>
      <x:c r="R93" s="57" t="str">
        <x:v>S15</x:v>
      </x:c>
      <x:c r="S93" s="57" t="str">
        <x:v>https://www.crossfit.com/movements/</x:v>
      </x:c>
      <x:c r="T93" s="57" t="str">
        <x:v>N</x:v>
      </x:c>
      <x:c r="U93" s="66" t="n">
        <x:v>0</x:v>
      </x:c>
      <x:c r="V93" s="57" t="str"/>
      <x:c r="W93" s="57" t="str"/>
      <x:c r="X93" s="57" t="str"/>
      <x:c r="Y93" s="57" t="str">
        <x:v>https://www.crossfit.com/essentials/movements</x:v>
      </x:c>
      <x:c r="Z93" s="57" t="str"/>
    </x:row>
    <x:row r="94" ht="46" customHeight="1">
      <x:c r="A94" s="57" t="str">
        <x:v>EX090</x:v>
      </x:c>
      <x:c r="B94" s="57" t="str">
        <x:v>팔로프 프레스</x:v>
      </x:c>
      <x:c r="C94" s="57" t="str">
        <x:v>Pallof Press</x:v>
      </x:c>
      <x:c r="D94" s="57" t="str">
        <x:v>웨이트리프팅</x:v>
      </x:c>
      <x:c r="E94" s="57" t="str">
        <x:v>몸통</x:v>
      </x:c>
      <x:c r="F94" s="57" t="str">
        <x:v>항회전</x:v>
      </x:c>
      <x:c r="G94" s="57" t="str">
        <x:v>보조</x:v>
      </x:c>
      <x:c r="H94" s="57" t="str">
        <x:v>밴드/케이블</x:v>
      </x:c>
      <x:c r="I94" s="66" t="n">
        <x:v>1</x:v>
      </x:c>
      <x:c r="J94" s="66" t="n">
        <x:v>1</x:v>
      </x:c>
      <x:c r="K94" s="57" t="str">
        <x:v>낮음</x:v>
      </x:c>
      <x:c r="L94" s="57" t="str">
        <x:v>회/측</x:v>
      </x:c>
      <x:c r="M94" s="57" t="str">
        <x:v>2~4×8~15</x:v>
      </x:c>
      <x:c r="N94" s="57" t="str">
        <x:v>가벼움</x:v>
      </x:c>
      <x:c r="O94" s="57" t="str">
        <x:v>아이소 홀드</x:v>
      </x:c>
      <x:c r="P94" s="57" t="str">
        <x:v>스플릿스탠스 팔로프</x:v>
      </x:c>
      <x:c r="Q94" s="57" t="str">
        <x:v>급성 요통</x:v>
      </x:c>
      <x:c r="R94" s="57" t="str">
        <x:v>S15</x:v>
      </x:c>
      <x:c r="S94" s="57" t="str">
        <x:v>https://www.crossfit.com/movements/</x:v>
      </x:c>
      <x:c r="T94" s="57" t="str">
        <x:v>N</x:v>
      </x:c>
      <x:c r="U94" s="66" t="n">
        <x:v>0</x:v>
      </x:c>
      <x:c r="V94" s="57" t="str"/>
      <x:c r="W94" s="57" t="str"/>
      <x:c r="X94" s="57" t="str"/>
      <x:c r="Y94" s="57" t="str">
        <x:v>https://www.crossfit.com/essentials/movements</x:v>
      </x:c>
      <x:c r="Z94" s="57" t="str"/>
    </x:row>
    <x:row r="95" ht="46" customHeight="1">
      <x:c r="A95" s="57" t="str">
        <x:v>EX091</x:v>
      </x:c>
      <x:c r="B95" s="57" t="str">
        <x:v>버드독</x:v>
      </x:c>
      <x:c r="C95" s="57" t="str">
        <x:v>Bird Dog</x:v>
      </x:c>
      <x:c r="D95" s="57" t="str">
        <x:v>체조</x:v>
      </x:c>
      <x:c r="E95" s="57" t="str">
        <x:v>몸통</x:v>
      </x:c>
      <x:c r="F95" s="57" t="str">
        <x:v>항회전+고관절 신전</x:v>
      </x:c>
      <x:c r="G95" s="57" t="str">
        <x:v>워밍업/회복</x:v>
      </x:c>
      <x:c r="H95" s="57" t="str">
        <x:v>매트</x:v>
      </x:c>
      <x:c r="I95" s="66" t="n">
        <x:v>1</x:v>
      </x:c>
      <x:c r="J95" s="66" t="n">
        <x:v>1</x:v>
      </x:c>
      <x:c r="K95" s="57" t="str">
        <x:v>낮음</x:v>
      </x:c>
      <x:c r="L95" s="57" t="str">
        <x:v>회/측</x:v>
      </x:c>
      <x:c r="M95" s="57" t="str">
        <x:v>2~4×6~10</x:v>
      </x:c>
      <x:c r="N95" s="57" t="str">
        <x:v>무부하</x:v>
      </x:c>
      <x:c r="O95" s="57" t="str">
        <x:v>팔/다리 단독</x:v>
      </x:c>
      <x:c r="P95" s="57" t="str">
        <x:v>밴드 버드독</x:v>
      </x:c>
      <x:c r="Q95" s="57" t="str">
        <x:v>급성 요통</x:v>
      </x:c>
      <x:c r="R95" s="57" t="str">
        <x:v>S15</x:v>
      </x:c>
      <x:c r="S95" s="57" t="str">
        <x:v>https://www.crossfit.com/movements/</x:v>
      </x:c>
      <x:c r="T95" s="57" t="str">
        <x:v>N</x:v>
      </x:c>
      <x:c r="U95" s="66" t="n">
        <x:v>0</x:v>
      </x:c>
      <x:c r="V95" s="57" t="str"/>
      <x:c r="W95" s="57" t="str"/>
      <x:c r="X95" s="57" t="str"/>
      <x:c r="Y95" s="57" t="str">
        <x:v>https://www.crossfit.com/essentials/movements</x:v>
      </x:c>
      <x:c r="Z95" s="57" t="str"/>
    </x:row>
    <x:row r="96" ht="46" customHeight="1">
      <x:c r="A96" s="57" t="str">
        <x:v>EX092</x:v>
      </x:c>
      <x:c r="B96" s="57" t="str">
        <x:v>글루트 브리지</x:v>
      </x:c>
      <x:c r="C96" s="57" t="str">
        <x:v>Glute Bridge</x:v>
      </x:c>
      <x:c r="D96" s="57" t="str">
        <x:v>체조</x:v>
      </x:c>
      <x:c r="E96" s="57" t="str">
        <x:v>둔근</x:v>
      </x:c>
      <x:c r="F96" s="57" t="str">
        <x:v>고관절 신전</x:v>
      </x:c>
      <x:c r="G96" s="57" t="str">
        <x:v>워밍업/보조</x:v>
      </x:c>
      <x:c r="H96" s="57" t="str">
        <x:v>매트</x:v>
      </x:c>
      <x:c r="I96" s="66" t="n">
        <x:v>1</x:v>
      </x:c>
      <x:c r="J96" s="66" t="n">
        <x:v>1</x:v>
      </x:c>
      <x:c r="K96" s="57" t="str">
        <x:v>낮음</x:v>
      </x:c>
      <x:c r="L96" s="57" t="str">
        <x:v>회</x:v>
      </x:c>
      <x:c r="M96" s="57" t="str">
        <x:v>2~4×10~20</x:v>
      </x:c>
      <x:c r="N96" s="57" t="str">
        <x:v>무부하~중간</x:v>
      </x:c>
      <x:c r="O96" s="57" t="str">
        <x:v>양발 브리지</x:v>
      </x:c>
      <x:c r="P96" s="57" t="str">
        <x:v>싱글레그/바벨 힙쓰러스트</x:v>
      </x:c>
      <x:c r="Q96" s="57" t="str">
        <x:v>급성 요통</x:v>
      </x:c>
      <x:c r="R96" s="57" t="str">
        <x:v>S15</x:v>
      </x:c>
      <x:c r="S96" s="57" t="str">
        <x:v>https://www.crossfit.com/movements/</x:v>
      </x:c>
      <x:c r="T96" s="57" t="str">
        <x:v>N</x:v>
      </x:c>
      <x:c r="U96" s="66" t="n">
        <x:v>0</x:v>
      </x:c>
      <x:c r="V96" s="57" t="str"/>
      <x:c r="W96" s="57" t="str"/>
      <x:c r="X96" s="57" t="str"/>
      <x:c r="Y96" s="57" t="str">
        <x:v>https://www.crossfit.com/essentials/movements</x:v>
      </x:c>
      <x:c r="Z96" s="57" t="str"/>
    </x:row>
    <x:row r="97" ht="46" customHeight="1">
      <x:c r="A97" s="57" t="str">
        <x:v>EX093</x:v>
      </x:c>
      <x:c r="B97" s="57" t="str">
        <x:v>노르딕 햄스트링 컬</x:v>
      </x:c>
      <x:c r="C97" s="57" t="str">
        <x:v>Nordic Hamstring Curl</x:v>
      </x:c>
      <x:c r="D97" s="57" t="str">
        <x:v>체조</x:v>
      </x:c>
      <x:c r="E97" s="57" t="str">
        <x:v>햄스트링</x:v>
      </x:c>
      <x:c r="F97" s="57" t="str">
        <x:v>무릎 굴곡 이센트릭</x:v>
      </x:c>
      <x:c r="G97" s="57" t="str">
        <x:v>보조</x:v>
      </x:c>
      <x:c r="H97" s="57" t="str">
        <x:v>고정대</x:v>
      </x:c>
      <x:c r="I97" s="66" t="n">
        <x:v>2</x:v>
      </x:c>
      <x:c r="J97" s="66" t="n">
        <x:v>3</x:v>
      </x:c>
      <x:c r="K97" s="57" t="str">
        <x:v>중간</x:v>
      </x:c>
      <x:c r="L97" s="57" t="str">
        <x:v>회</x:v>
      </x:c>
      <x:c r="M97" s="57" t="str">
        <x:v>2~4×3~8</x:v>
      </x:c>
      <x:c r="N97" s="57" t="str">
        <x:v>체중</x:v>
      </x:c>
      <x:c r="O97" s="57" t="str">
        <x:v>밴드 보조/부분 ROM</x:v>
      </x:c>
      <x:c r="P97" s="57" t="str">
        <x:v>완전 이센트릭+콘센트릭</x:v>
      </x:c>
      <x:c r="Q97" s="57" t="str">
        <x:v>햄스트링 통증</x:v>
      </x:c>
      <x:c r="R97" s="57" t="str">
        <x:v>S15</x:v>
      </x:c>
      <x:c r="S97" s="57" t="str">
        <x:v>https://www.crossfit.com/movements/</x:v>
      </x:c>
      <x:c r="T97" s="57" t="str">
        <x:v>N</x:v>
      </x:c>
      <x:c r="U97" s="66" t="n">
        <x:v>0</x:v>
      </x:c>
      <x:c r="V97" s="57" t="str"/>
      <x:c r="W97" s="57" t="str"/>
      <x:c r="X97" s="57" t="str"/>
      <x:c r="Y97" s="57" t="str">
        <x:v>https://www.crossfit.com/essentials/movements</x:v>
      </x:c>
      <x:c r="Z97" s="57" t="str"/>
    </x:row>
    <x:row r="98" ht="46" customHeight="1">
      <x:c r="A98" s="57" t="str">
        <x:v>EX094</x:v>
      </x:c>
      <x:c r="B98" s="57" t="str">
        <x:v>밴드 페이스풀</x:v>
      </x:c>
      <x:c r="C98" s="57" t="str">
        <x:v>Band Face Pull</x:v>
      </x:c>
      <x:c r="D98" s="57" t="str">
        <x:v>웨이트리프팅</x:v>
      </x:c>
      <x:c r="E98" s="57" t="str">
        <x:v>상부 등</x:v>
      </x:c>
      <x:c r="F98" s="57" t="str">
        <x:v>수평 당기기+외회전</x:v>
      </x:c>
      <x:c r="G98" s="57" t="str">
        <x:v>워밍업/보조</x:v>
      </x:c>
      <x:c r="H98" s="57" t="str">
        <x:v>밴드</x:v>
      </x:c>
      <x:c r="I98" s="66" t="n">
        <x:v>1</x:v>
      </x:c>
      <x:c r="J98" s="66" t="n">
        <x:v>1</x:v>
      </x:c>
      <x:c r="K98" s="57" t="str">
        <x:v>낮음</x:v>
      </x:c>
      <x:c r="L98" s="57" t="str">
        <x:v>회</x:v>
      </x:c>
      <x:c r="M98" s="57" t="str">
        <x:v>2~4×12~20</x:v>
      </x:c>
      <x:c r="N98" s="57" t="str">
        <x:v>가벼움</x:v>
      </x:c>
      <x:c r="O98" s="57" t="str">
        <x:v>밴드 풀어파트</x:v>
      </x:c>
      <x:c r="P98" s="57" t="str">
        <x:v>케이블 페이스풀</x:v>
      </x:c>
      <x:c r="Q98" s="57" t="str">
        <x:v>어깨 통증</x:v>
      </x:c>
      <x:c r="R98" s="57" t="str">
        <x:v>S15</x:v>
      </x:c>
      <x:c r="S98" s="57" t="str">
        <x:v>https://www.crossfit.com/movements/</x:v>
      </x:c>
      <x:c r="T98" s="57" t="str">
        <x:v>N</x:v>
      </x:c>
      <x:c r="U98" s="66" t="n">
        <x:v>0</x:v>
      </x:c>
      <x:c r="V98" s="57" t="str"/>
      <x:c r="W98" s="57" t="str"/>
      <x:c r="X98" s="57" t="str"/>
      <x:c r="Y98" s="57" t="str">
        <x:v>https://www.crossfit.com/essentials/movements</x:v>
      </x:c>
      <x:c r="Z98" s="57" t="str"/>
    </x:row>
    <x:row r="99" ht="46" customHeight="1">
      <x:c r="A99" s="57" t="str">
        <x:v>EX095</x:v>
      </x:c>
      <x:c r="B99" s="57" t="str">
        <x:v>밴드 풀어파트</x:v>
      </x:c>
      <x:c r="C99" s="57" t="str">
        <x:v>Band Pull-apart</x:v>
      </x:c>
      <x:c r="D99" s="57" t="str">
        <x:v>웨이트리프팅</x:v>
      </x:c>
      <x:c r="E99" s="57" t="str">
        <x:v>상부 등</x:v>
      </x:c>
      <x:c r="F99" s="57" t="str">
        <x:v>수평 당기기</x:v>
      </x:c>
      <x:c r="G99" s="57" t="str">
        <x:v>워밍업/보조</x:v>
      </x:c>
      <x:c r="H99" s="57" t="str">
        <x:v>밴드</x:v>
      </x:c>
      <x:c r="I99" s="66" t="n">
        <x:v>1</x:v>
      </x:c>
      <x:c r="J99" s="66" t="n">
        <x:v>1</x:v>
      </x:c>
      <x:c r="K99" s="57" t="str">
        <x:v>낮음</x:v>
      </x:c>
      <x:c r="L99" s="57" t="str">
        <x:v>회</x:v>
      </x:c>
      <x:c r="M99" s="57" t="str">
        <x:v>2~4×15~25</x:v>
      </x:c>
      <x:c r="N99" s="57" t="str">
        <x:v>가벼움</x:v>
      </x:c>
      <x:c r="O99" s="57" t="str">
        <x:v>가벼운 밴드</x:v>
      </x:c>
      <x:c r="P99" s="57" t="str">
        <x:v>느린 템포</x:v>
      </x:c>
      <x:c r="Q99" s="57" t="str">
        <x:v>어깨 통증</x:v>
      </x:c>
      <x:c r="R99" s="57" t="str">
        <x:v>S15</x:v>
      </x:c>
      <x:c r="S99" s="57" t="str">
        <x:v>https://www.crossfit.com/movements/</x:v>
      </x:c>
      <x:c r="T99" s="57" t="str">
        <x:v>N</x:v>
      </x:c>
      <x:c r="U99" s="66" t="n">
        <x:v>0</x:v>
      </x:c>
      <x:c r="V99" s="57" t="str"/>
      <x:c r="W99" s="57" t="str"/>
      <x:c r="X99" s="57" t="str"/>
      <x:c r="Y99" s="57" t="str">
        <x:v>https://www.crossfit.com/essentials/movements</x:v>
      </x:c>
      <x:c r="Z99" s="57" t="str"/>
    </x:row>
    <x:row r="100" ht="46" customHeight="1">
      <x:c r="A100" s="57" t="str">
        <x:v>EX096</x:v>
      </x:c>
      <x:c r="B100" s="57" t="str">
        <x:v>카프레이즈</x:v>
      </x:c>
      <x:c r="C100" s="57" t="str">
        <x:v>Calf Raise</x:v>
      </x:c>
      <x:c r="D100" s="57" t="str">
        <x:v>웨이트리프팅</x:v>
      </x:c>
      <x:c r="E100" s="57" t="str">
        <x:v>하퇴</x:v>
      </x:c>
      <x:c r="F100" s="57" t="str">
        <x:v>발목 저측굴곡</x:v>
      </x:c>
      <x:c r="G100" s="57" t="str">
        <x:v>보조</x:v>
      </x:c>
      <x:c r="H100" s="57" t="str">
        <x:v>스텝/덤벨 선택</x:v>
      </x:c>
      <x:c r="I100" s="66" t="n">
        <x:v>1</x:v>
      </x:c>
      <x:c r="J100" s="66" t="n">
        <x:v>1</x:v>
      </x:c>
      <x:c r="K100" s="57" t="str">
        <x:v>낮음</x:v>
      </x:c>
      <x:c r="L100" s="57" t="str">
        <x:v>회</x:v>
      </x:c>
      <x:c r="M100" s="57" t="str">
        <x:v>2~4×10~20</x:v>
      </x:c>
      <x:c r="N100" s="57" t="str">
        <x:v>가벼움~중간</x:v>
      </x:c>
      <x:c r="O100" s="57" t="str">
        <x:v>양발</x:v>
      </x:c>
      <x:c r="P100" s="57" t="str">
        <x:v>싱글레그/가중</x:v>
      </x:c>
      <x:c r="Q100" s="57" t="str">
        <x:v>아킬레스 급성 통증</x:v>
      </x:c>
      <x:c r="R100" s="57" t="str">
        <x:v>S15</x:v>
      </x:c>
      <x:c r="S100" s="57" t="str">
        <x:v>https://www.crossfit.com/movements/</x:v>
      </x:c>
      <x:c r="T100" s="57" t="str">
        <x:v>N</x:v>
      </x:c>
      <x:c r="U100" s="66" t="n">
        <x:v>0</x:v>
      </x:c>
      <x:c r="V100" s="57" t="str"/>
      <x:c r="W100" s="57" t="str"/>
      <x:c r="X100" s="57" t="str"/>
      <x:c r="Y100" s="57" t="str">
        <x:v>https://www.crossfit.com/essentials/movements</x:v>
      </x:c>
      <x:c r="Z100" s="57" t="str"/>
    </x:row>
    <x:row r="101" ht="46" customHeight="1">
      <x:c r="A101" s="57" t="str">
        <x:v>EX097</x:v>
      </x:c>
      <x:c r="B101" s="57" t="str">
        <x:v>바페이싱 버피</x:v>
      </x:c>
      <x:c r="C101" s="57" t="str">
        <x:v>Bar-facing Burpee</x:v>
      </x:c>
      <x:c r="D101" s="57" t="str">
        <x:v>체조</x:v>
      </x:c>
      <x:c r="E101" s="57" t="str">
        <x:v>버피 변형</x:v>
      </x:c>
      <x:c r="F101" s="57" t="str">
        <x:v>수평 밀기+점프+바 넘기</x:v>
      </x:c>
      <x:c r="G101" s="57" t="str">
        <x:v>메트콘</x:v>
      </x:c>
      <x:c r="H101" s="57" t="str">
        <x:v>바벨</x:v>
      </x:c>
      <x:c r="I101" s="66" t="n">
        <x:v>1</x:v>
      </x:c>
      <x:c r="J101" s="66" t="n">
        <x:v>2</x:v>
      </x:c>
      <x:c r="K101" s="57" t="str">
        <x:v>높음</x:v>
      </x:c>
      <x:c r="L101" s="57" t="str">
        <x:v>회</x:v>
      </x:c>
      <x:c r="M101" s="57" t="str">
        <x:v>5~15/세트</x:v>
      </x:c>
      <x:c r="N101" s="57" t="str">
        <x:v>무부하</x:v>
      </x:c>
      <x:c r="O101" s="57" t="str">
        <x:v>스텝백+스텝오버</x:v>
      </x:c>
      <x:c r="P101" s="57" t="str">
        <x:v>더 빠른 사이클</x:v>
      </x:c>
      <x:c r="Q101" s="57" t="str">
        <x:v>손목/허리/아킬레스 통증</x:v>
      </x:c>
      <x:c r="R101" s="57" t="str">
        <x:v>S20</x:v>
      </x:c>
      <x:c r="S101" s="57" t="str">
        <x:v>https://games.crossfit.com/workouts/open/2017</x:v>
      </x:c>
      <x:c r="T101" s="57" t="str">
        <x:v>Y</x:v>
      </x:c>
      <x:c r="U101" s="66" t="n">
        <x:v>4</x:v>
      </x:c>
      <x:c r="V101" s="57" t="str">
        <x:v>2018, 2019, 2020, 2022</x:v>
      </x:c>
      <x:c r="W101" s="57" t="str">
        <x:v>18.2 + 18.2a, 19.4, 20.1, 22.2</x:v>
      </x:c>
      <x:c r="X101" s="57" t="n">
        <x:v>2022</x:v>
      </x:c>
      <x:c r="Y101" s="57" t="str">
        <x:v>https://www.crossfit.com/essentials/movements</x:v>
      </x:c>
      <x:c r="Z101" s="57" t="str"/>
    </x:row>
    <x:row r="102" ht="46" customHeight="1">
      <x:c r="A102" s="57" t="str">
        <x:v>EX098</x:v>
      </x:c>
      <x:c r="B102" s="57" t="str">
        <x:v>덤벨 측면 버피 오버</x:v>
      </x:c>
      <x:c r="C102" s="57" t="str">
        <x:v>Lateral Burpee over Dumbbell</x:v>
      </x:c>
      <x:c r="D102" s="57" t="str">
        <x:v>체조</x:v>
      </x:c>
      <x:c r="E102" s="57" t="str">
        <x:v>버피 변형</x:v>
      </x:c>
      <x:c r="F102" s="57" t="str">
        <x:v>수평 밀기+측면 점프</x:v>
      </x:c>
      <x:c r="G102" s="57" t="str">
        <x:v>메트콘</x:v>
      </x:c>
      <x:c r="H102" s="57" t="str">
        <x:v>덤벨</x:v>
      </x:c>
      <x:c r="I102" s="66" t="n">
        <x:v>1</x:v>
      </x:c>
      <x:c r="J102" s="66" t="n">
        <x:v>2</x:v>
      </x:c>
      <x:c r="K102" s="57" t="str">
        <x:v>높음</x:v>
      </x:c>
      <x:c r="L102" s="57" t="str">
        <x:v>회</x:v>
      </x:c>
      <x:c r="M102" s="57" t="str">
        <x:v>5~15/세트</x:v>
      </x:c>
      <x:c r="N102" s="57" t="str">
        <x:v>무부하</x:v>
      </x:c>
      <x:c r="O102" s="57" t="str">
        <x:v>스텝백+스텝오버</x:v>
      </x:c>
      <x:c r="P102" s="57" t="str">
        <x:v>더 빠른 사이클</x:v>
      </x:c>
      <x:c r="Q102" s="57" t="str">
        <x:v>손목/허리/아킬레스 통증</x:v>
      </x:c>
      <x:c r="R102" s="57" t="str">
        <x:v>S28</x:v>
      </x:c>
      <x:c r="S102" s="57" t="str">
        <x:v>https://games.crossfit.com/workouts/open/2025</x:v>
      </x:c>
      <x:c r="T102" s="57" t="str">
        <x:v>Y</x:v>
      </x:c>
      <x:c r="U102" s="66" t="n">
        <x:v>2</x:v>
      </x:c>
      <x:c r="V102" s="57" t="str">
        <x:v>2024, 2025</x:v>
      </x:c>
      <x:c r="W102" s="57" t="str">
        <x:v>24.1, 25.1</x:v>
      </x:c>
      <x:c r="X102" s="57" t="n">
        <x:v>2025</x:v>
      </x:c>
      <x:c r="Y102" s="57" t="str">
        <x:v>https://www.crossfit.com/essentials/movements</x:v>
      </x:c>
      <x:c r="Z102" s="57" t="str"/>
    </x:row>
    <x:row r="103" ht="46" customHeight="1">
      <x:c r="A103" s="57" t="str">
        <x:v>EX099</x:v>
      </x:c>
      <x:c r="B103" s="57" t="str">
        <x:v>버피 박스 점프오버</x:v>
      </x:c>
      <x:c r="C103" s="57" t="str">
        <x:v>Burpee Box Jump-over</x:v>
      </x:c>
      <x:c r="D103" s="57" t="str">
        <x:v>체조</x:v>
      </x:c>
      <x:c r="E103" s="57" t="str">
        <x:v>버피 변형</x:v>
      </x:c>
      <x:c r="F103" s="57" t="str">
        <x:v>수평 밀기+하지 파워+이동</x:v>
      </x:c>
      <x:c r="G103" s="57" t="str">
        <x:v>메트콘</x:v>
      </x:c>
      <x:c r="H103" s="57" t="str">
        <x:v>박스</x:v>
      </x:c>
      <x:c r="I103" s="66" t="n">
        <x:v>1</x:v>
      </x:c>
      <x:c r="J103" s="66" t="n">
        <x:v>3</x:v>
      </x:c>
      <x:c r="K103" s="57" t="str">
        <x:v>높음</x:v>
      </x:c>
      <x:c r="L103" s="57" t="str">
        <x:v>회</x:v>
      </x:c>
      <x:c r="M103" s="57" t="str">
        <x:v>3~12/세트</x:v>
      </x:c>
      <x:c r="N103" s="57" t="str">
        <x:v>무부하</x:v>
      </x:c>
      <x:c r="O103" s="57" t="str">
        <x:v>버피 박스 스텝오버</x:v>
      </x:c>
      <x:c r="P103" s="57" t="str">
        <x:v>높이/사이클 증가</x:v>
      </x:c>
      <x:c r="Q103" s="57" t="str">
        <x:v>손목/무릎/아킬레스 통증</x:v>
      </x:c>
      <x:c r="R103" s="57" t="str">
        <x:v>S20</x:v>
      </x:c>
      <x:c r="S103" s="57" t="str">
        <x:v>https://games.crossfit.com/workouts/open/2017</x:v>
      </x:c>
      <x:c r="T103" s="57" t="str">
        <x:v>Y</x:v>
      </x:c>
      <x:c r="U103" s="66" t="n">
        <x:v>2</x:v>
      </x:c>
      <x:c r="V103" s="57" t="str">
        <x:v>2017, 2021</x:v>
      </x:c>
      <x:c r="W103" s="57" t="str">
        <x:v>17.1, 21.2</x:v>
      </x:c>
      <x:c r="X103" s="57" t="n">
        <x:v>2021</x:v>
      </x:c>
      <x:c r="Y103" s="57" t="str">
        <x:v>https://www.crossfit.com/essentials/movements</x:v>
      </x:c>
      <x:c r="Z103" s="57" t="str">
        <x:v>https://www.youtube.com/watch?v=GLktGkmcvWE</x:v>
      </x:c>
    </x:row>
    <x:row r="104" ht="46" customHeight="1">
      <x:c r="A104" s="57" t="str">
        <x:v>EX100</x:v>
      </x:c>
      <x:c r="B104" s="57" t="str">
        <x:v>버피 풀업</x:v>
      </x:c>
      <x:c r="C104" s="57" t="str">
        <x:v>Burpee Pull-up</x:v>
      </x:c>
      <x:c r="D104" s="57" t="str">
        <x:v>체조</x:v>
      </x:c>
      <x:c r="E104" s="57" t="str">
        <x:v>버피 변형</x:v>
      </x:c>
      <x:c r="F104" s="57" t="str">
        <x:v>수평 밀기+수직 당기기</x:v>
      </x:c>
      <x:c r="G104" s="57" t="str">
        <x:v>메트콘</x:v>
      </x:c>
      <x:c r="H104" s="57" t="str">
        <x:v>풀업바</x:v>
      </x:c>
      <x:c r="I104" s="66" t="n">
        <x:v>2</x:v>
      </x:c>
      <x:c r="J104" s="66" t="n">
        <x:v>3</x:v>
      </x:c>
      <x:c r="K104" s="57" t="str">
        <x:v>중간</x:v>
      </x:c>
      <x:c r="L104" s="57" t="str">
        <x:v>회</x:v>
      </x:c>
      <x:c r="M104" s="57" t="str">
        <x:v>3~12/세트</x:v>
      </x:c>
      <x:c r="N104" s="57" t="str">
        <x:v>체중</x:v>
      </x:c>
      <x:c r="O104" s="57" t="str">
        <x:v>버피+점핑 풀업</x:v>
      </x:c>
      <x:c r="P104" s="57" t="str">
        <x:v>버피 체스트투바</x:v>
      </x:c>
      <x:c r="Q104" s="57" t="str">
        <x:v>어깨/팔꿈치/손목 통증</x:v>
      </x:c>
      <x:c r="R104" s="57" t="str">
        <x:v>S26</x:v>
      </x:c>
      <x:c r="S104" s="57" t="str">
        <x:v>https://games.crossfit.com/workouts/open/2023</x:v>
      </x:c>
      <x:c r="T104" s="57" t="str">
        <x:v>Y</x:v>
      </x:c>
      <x:c r="U104" s="66" t="n">
        <x:v>1</x:v>
      </x:c>
      <x:c r="V104" s="57" t="str">
        <x:v>2023</x:v>
      </x:c>
      <x:c r="W104" s="57" t="str">
        <x:v>23.2A + 23.2B</x:v>
      </x:c>
      <x:c r="X104" s="57" t="n">
        <x:v>2023</x:v>
      </x:c>
      <x:c r="Y104" s="57" t="str">
        <x:v>https://www.crossfit.com/essentials/movements</x:v>
      </x:c>
      <x:c r="Z104" s="57" t="str"/>
    </x:row>
    <x:row r="105" ht="46" customHeight="1">
      <x:c r="A105" s="57" t="str">
        <x:v>EX101</x:v>
      </x:c>
      <x:c r="B105" s="57" t="str">
        <x:v>셔틀런</x:v>
      </x:c>
      <x:c r="C105" s="57" t="str">
        <x:v>Shuttle Run</x:v>
      </x:c>
      <x:c r="D105" s="57" t="str">
        <x:v>모노스트럭처럴</x:v>
      </x:c>
      <x:c r="E105" s="57" t="str">
        <x:v>달리기</x:v>
      </x:c>
      <x:c r="F105" s="57" t="str">
        <x:v>가속+감속+방향전환</x:v>
      </x:c>
      <x:c r="G105" s="57" t="str">
        <x:v>컨디셔닝/메트콘</x:v>
      </x:c>
      <x:c r="H105" s="57" t="str">
        <x:v>표식/공간</x:v>
      </x:c>
      <x:c r="I105" s="66" t="n">
        <x:v>1</x:v>
      </x:c>
      <x:c r="J105" s="66" t="n">
        <x:v>2</x:v>
      </x:c>
      <x:c r="K105" s="57" t="str">
        <x:v>높음</x:v>
      </x:c>
      <x:c r="L105" s="57" t="str">
        <x:v>왕복회/m</x:v>
      </x:c>
      <x:c r="M105" s="57" t="str">
        <x:v>10~50ft 왕복 반복</x:v>
      </x:c>
      <x:c r="N105" s="57" t="str">
        <x:v>개인 페이스</x:v>
      </x:c>
      <x:c r="O105" s="57" t="str">
        <x:v>걷기 셔틀/긴 회전반경</x:v>
      </x:c>
      <x:c r="P105" s="57" t="str">
        <x:v>스프린트 셔틀</x:v>
      </x:c>
      <x:c r="Q105" s="57" t="str">
        <x:v>무릎/발목/아킬레스 통증</x:v>
      </x:c>
      <x:c r="R105" s="57" t="str">
        <x:v>S26</x:v>
      </x:c>
      <x:c r="S105" s="57" t="str">
        <x:v>https://games.crossfit.com/workouts/open/2023</x:v>
      </x:c>
      <x:c r="T105" s="57" t="str">
        <x:v>Y</x:v>
      </x:c>
      <x:c r="U105" s="66" t="n">
        <x:v>1</x:v>
      </x:c>
      <x:c r="V105" s="57" t="str">
        <x:v>2023</x:v>
      </x:c>
      <x:c r="W105" s="57" t="str">
        <x:v>23.2A + 23.2B</x:v>
      </x:c>
      <x:c r="X105" s="57" t="n">
        <x:v>2023</x:v>
      </x:c>
      <x:c r="Y105" s="57" t="str">
        <x:v>https://www.crossfit.com/essentials/movements</x:v>
      </x:c>
      <x:c r="Z105" s="57" t="str"/>
    </x:row>
    <x:row r="106" ht="46" customHeight="1">
      <x:c r="A106" s="57" t="str">
        <x:v>EX102</x:v>
      </x:c>
      <x:c r="B106" s="57" t="str">
        <x:v>덤벨 오버헤드 워킹 런지</x:v>
      </x:c>
      <x:c r="C106" s="57" t="str">
        <x:v>Dumbbell Overhead Walking Lunge</x:v>
      </x:c>
      <x:c r="D106" s="57" t="str">
        <x:v>웨이트리프팅</x:v>
      </x:c>
      <x:c r="E106" s="57" t="str">
        <x:v>편측 하체</x:v>
      </x:c>
      <x:c r="F106" s="57" t="str">
        <x:v>스쿼트+이동+오버헤드 안정</x:v>
      </x:c>
      <x:c r="G106" s="57" t="str">
        <x:v>메트콘/보조</x:v>
      </x:c>
      <x:c r="H106" s="57" t="str">
        <x:v>덤벨</x:v>
      </x:c>
      <x:c r="I106" s="66" t="n">
        <x:v>2</x:v>
      </x:c>
      <x:c r="J106" s="66" t="n">
        <x:v>4</x:v>
      </x:c>
      <x:c r="K106" s="57" t="str">
        <x:v>중간</x:v>
      </x:c>
      <x:c r="L106" s="57" t="str">
        <x:v>ft/m</x:v>
      </x:c>
      <x:c r="M106" s="57" t="str">
        <x:v>20~200ft</x:v>
      </x:c>
      <x:c r="N106" s="57" t="str">
        <x:v>중간</x:v>
      </x:c>
      <x:c r="O106" s="57" t="str">
        <x:v>프론트랙/무부하 런지</x:v>
      </x:c>
      <x:c r="P106" s="57" t="str">
        <x:v>거리/부하 증가</x:v>
      </x:c>
      <x:c r="Q106" s="57" t="str">
        <x:v>어깨/무릎 통증</x:v>
      </x:c>
      <x:c r="R106" s="57" t="str">
        <x:v>S22</x:v>
      </x:c>
      <x:c r="S106" s="57" t="str">
        <x:v>https://games.crossfit.com/workouts/open/2019</x:v>
      </x:c>
      <x:c r="T106" s="57" t="str">
        <x:v>Y</x:v>
      </x:c>
      <x:c r="U106" s="66" t="n">
        <x:v>2</x:v>
      </x:c>
      <x:c r="V106" s="57" t="str">
        <x:v>2019, 2026</x:v>
      </x:c>
      <x:c r="W106" s="57" t="str">
        <x:v>19.3, 26.2</x:v>
      </x:c>
      <x:c r="X106" s="57" t="n">
        <x:v>2026</x:v>
      </x:c>
      <x:c r="Y106" s="57" t="str">
        <x:v>https://www.crossfit.com/essentials/movements</x:v>
      </x:c>
      <x:c r="Z106" s="57" t="str"/>
    </x:row>
    <x:row r="107" ht="46" customHeight="1">
      <x:c r="A107" s="57" t="str">
        <x:v>EX103</x:v>
      </x:c>
      <x:c r="B107" s="57" t="str">
        <x:v>덤벨 프론트랙 워킹 런지</x:v>
      </x:c>
      <x:c r="C107" s="57" t="str">
        <x:v>Dumbbell Front-rack Walking Lunge</x:v>
      </x:c>
      <x:c r="D107" s="57" t="str">
        <x:v>웨이트리프팅</x:v>
      </x:c>
      <x:c r="E107" s="57" t="str">
        <x:v>편측 하체</x:v>
      </x:c>
      <x:c r="F107" s="57" t="str">
        <x:v>스쿼트+이동+프론트랙</x:v>
      </x:c>
      <x:c r="G107" s="57" t="str">
        <x:v>메트콘/보조</x:v>
      </x:c>
      <x:c r="H107" s="57" t="str">
        <x:v>덤벨 2개</x:v>
      </x:c>
      <x:c r="I107" s="66" t="n">
        <x:v>1</x:v>
      </x:c>
      <x:c r="J107" s="66" t="n">
        <x:v>2</x:v>
      </x:c>
      <x:c r="K107" s="57" t="str">
        <x:v>중간</x:v>
      </x:c>
      <x:c r="L107" s="57" t="str">
        <x:v>ft/m</x:v>
      </x:c>
      <x:c r="M107" s="57" t="str">
        <x:v>20~100ft</x:v>
      </x:c>
      <x:c r="N107" s="57" t="str">
        <x:v>중간</x:v>
      </x:c>
      <x:c r="O107" s="57" t="str">
        <x:v>무부하 워킹 런지</x:v>
      </x:c>
      <x:c r="P107" s="57" t="str">
        <x:v>오버헤드 런지</x:v>
      </x:c>
      <x:c r="Q107" s="57" t="str">
        <x:v>손목/무릎 통증</x:v>
      </x:c>
      <x:c r="R107" s="57" t="str">
        <x:v>S20</x:v>
      </x:c>
      <x:c r="S107" s="57" t="str">
        <x:v>https://games.crossfit.com/workouts/open/2017</x:v>
      </x:c>
      <x:c r="T107" s="57" t="str">
        <x:v>Y</x:v>
      </x:c>
      <x:c r="U107" s="66" t="n">
        <x:v>1</x:v>
      </x:c>
      <x:c r="V107" s="57" t="str">
        <x:v>2017</x:v>
      </x:c>
      <x:c r="W107" s="57" t="str">
        <x:v>17.2</x:v>
      </x:c>
      <x:c r="X107" s="57" t="n">
        <x:v>2017</x:v>
      </x:c>
      <x:c r="Y107" s="57" t="str">
        <x:v>https://www.crossfit.com/essentials/movements</x:v>
      </x:c>
      <x:c r="Z107" s="57" t="str"/>
    </x:row>
    <x:row r="108" ht="46" customHeight="1">
      <x:c r="A108" s="57" t="str">
        <x:v>EX104</x:v>
      </x:c>
      <x:c r="B108" s="57" t="str">
        <x:v>덤벨 박스 스텝업</x:v>
      </x:c>
      <x:c r="C108" s="57" t="str">
        <x:v>Dumbbell Box Step-up</x:v>
      </x:c>
      <x:c r="D108" s="57" t="str">
        <x:v>웨이트리프팅</x:v>
      </x:c>
      <x:c r="E108" s="57" t="str">
        <x:v>편측 하체</x:v>
      </x:c>
      <x:c r="F108" s="57" t="str">
        <x:v>스쿼트+스텝+외부부하</x:v>
      </x:c>
      <x:c r="G108" s="57" t="str">
        <x:v>메트콘/보조</x:v>
      </x:c>
      <x:c r="H108" s="57" t="str">
        <x:v>덤벨/박스</x:v>
      </x:c>
      <x:c r="I108" s="66" t="n">
        <x:v>1</x:v>
      </x:c>
      <x:c r="J108" s="66" t="n">
        <x:v>2</x:v>
      </x:c>
      <x:c r="K108" s="57" t="str">
        <x:v>낮음</x:v>
      </x:c>
      <x:c r="L108" s="57" t="str">
        <x:v>회</x:v>
      </x:c>
      <x:c r="M108" s="57" t="str">
        <x:v>5~20/세트</x:v>
      </x:c>
      <x:c r="N108" s="57" t="str">
        <x:v>중간</x:v>
      </x:c>
      <x:c r="O108" s="57" t="str">
        <x:v>무부하/낮은 박스</x:v>
      </x:c>
      <x:c r="P108" s="57" t="str">
        <x:v>높이/부하 증가</x:v>
      </x:c>
      <x:c r="Q108" s="57" t="str">
        <x:v>균형 불안/무릎 통증</x:v>
      </x:c>
      <x:c r="R108" s="57" t="str">
        <x:v>S22</x:v>
      </x:c>
      <x:c r="S108" s="57" t="str">
        <x:v>https://games.crossfit.com/workouts/open/2019</x:v>
      </x:c>
      <x:c r="T108" s="57" t="str">
        <x:v>Y</x:v>
      </x:c>
      <x:c r="U108" s="66" t="n">
        <x:v>1</x:v>
      </x:c>
      <x:c r="V108" s="57" t="str">
        <x:v>2019</x:v>
      </x:c>
      <x:c r="W108" s="57" t="str">
        <x:v>19.3</x:v>
      </x:c>
      <x:c r="X108" s="57" t="n">
        <x:v>2019</x:v>
      </x:c>
      <x:c r="Y108" s="57" t="str">
        <x:v>https://www.crossfit.com/essentials/movements</x:v>
      </x:c>
      <x:c r="Z108" s="57" t="str"/>
    </x:row>
    <x:row r="109" ht="46" customHeight="1">
      <x:c r="A109" s="57" t="str">
        <x:v>EX105</x:v>
      </x:c>
      <x:c r="B109" s="57" t="str">
        <x:v>메디신볼 박스 스텝오버</x:v>
      </x:c>
      <x:c r="C109" s="57" t="str">
        <x:v>Medicine-ball Box Step-over</x:v>
      </x:c>
      <x:c r="D109" s="57" t="str">
        <x:v>웨이트리프팅</x:v>
      </x:c>
      <x:c r="E109" s="57" t="str">
        <x:v>편측 하체</x:v>
      </x:c>
      <x:c r="F109" s="57" t="str">
        <x:v>스텝+부하 운반+이동</x:v>
      </x:c>
      <x:c r="G109" s="57" t="str">
        <x:v>메트콘</x:v>
      </x:c>
      <x:c r="H109" s="57" t="str">
        <x:v>메디신볼/박스</x:v>
      </x:c>
      <x:c r="I109" s="66" t="n">
        <x:v>1</x:v>
      </x:c>
      <x:c r="J109" s="66" t="n">
        <x:v>2</x:v>
      </x:c>
      <x:c r="K109" s="57" t="str">
        <x:v>낮음</x:v>
      </x:c>
      <x:c r="L109" s="57" t="str">
        <x:v>회</x:v>
      </x:c>
      <x:c r="M109" s="57" t="str">
        <x:v>5~20/세트</x:v>
      </x:c>
      <x:c r="N109" s="57" t="str">
        <x:v>가벼움~중간</x:v>
      </x:c>
      <x:c r="O109" s="57" t="str">
        <x:v>무부하 박스 스텝오버</x:v>
      </x:c>
      <x:c r="P109" s="57" t="str">
        <x:v>부하/높이 증가</x:v>
      </x:c>
      <x:c r="Q109" s="57" t="str">
        <x:v>균형 불안/무릎 통증</x:v>
      </x:c>
      <x:c r="R109" s="57" t="str">
        <x:v>S29</x:v>
      </x:c>
      <x:c r="S109" s="57" t="str">
        <x:v>https://games.crossfit.com/workouts/open/2026</x:v>
      </x:c>
      <x:c r="T109" s="57" t="str">
        <x:v>Y</x:v>
      </x:c>
      <x:c r="U109" s="66" t="n">
        <x:v>1</x:v>
      </x:c>
      <x:c r="V109" s="57" t="str">
        <x:v>2026</x:v>
      </x:c>
      <x:c r="W109" s="57" t="str">
        <x:v>26.1</x:v>
      </x:c>
      <x:c r="X109" s="57" t="n">
        <x:v>2026</x:v>
      </x:c>
      <x:c r="Y109" s="57" t="str">
        <x:v>https://www.crossfit.com/essentials/movements</x:v>
      </x:c>
      <x:c r="Z109" s="57" t="str"/>
    </x:row>
    <x:row r="110" ht="46" customHeight="1">
      <x:c r="A110" s="57" t="str">
        <x:v>EX106</x:v>
      </x:c>
      <x:c r="B110" s="57" t="str">
        <x:v>덤벨 행 클린앤저크</x:v>
      </x:c>
      <x:c r="C110" s="57" t="str">
        <x:v>Dumbbell Hang Clean and Jerk</x:v>
      </x:c>
      <x:c r="D110" s="57" t="str">
        <x:v>웨이트리프팅</x:v>
      </x:c>
      <x:c r="E110" s="57" t="str">
        <x:v>덤벨 복합</x:v>
      </x:c>
      <x:c r="F110" s="57" t="str">
        <x:v>힌지+프론트랙+오버헤드</x:v>
      </x:c>
      <x:c r="G110" s="57" t="str">
        <x:v>메트콘/기술</x:v>
      </x:c>
      <x:c r="H110" s="57" t="str">
        <x:v>덤벨</x:v>
      </x:c>
      <x:c r="I110" s="66" t="n">
        <x:v>1</x:v>
      </x:c>
      <x:c r="J110" s="66" t="n">
        <x:v>3</x:v>
      </x:c>
      <x:c r="K110" s="57" t="str">
        <x:v>중간</x:v>
      </x:c>
      <x:c r="L110" s="57" t="str">
        <x:v>회</x:v>
      </x:c>
      <x:c r="M110" s="57" t="str">
        <x:v>5~15/세트</x:v>
      </x:c>
      <x:c r="N110" s="57" t="str">
        <x:v>가벼움~중간</x:v>
      </x:c>
      <x:c r="O110" s="57" t="str">
        <x:v>DB 행 클린+프레스</x:v>
      </x:c>
      <x:c r="P110" s="57" t="str">
        <x:v>연속 사이클/부하 증가</x:v>
      </x:c>
      <x:c r="Q110" s="57" t="str">
        <x:v>어깨/손목/허리 통증</x:v>
      </x:c>
      <x:c r="R110" s="57" t="str">
        <x:v>S21</x:v>
      </x:c>
      <x:c r="S110" s="57" t="str">
        <x:v>https://games.crossfit.com/workouts/open/2018</x:v>
      </x:c>
      <x:c r="T110" s="57" t="str">
        <x:v>Y</x:v>
      </x:c>
      <x:c r="U110" s="66" t="n">
        <x:v>1</x:v>
      </x:c>
      <x:c r="V110" s="57" t="str">
        <x:v>2018</x:v>
      </x:c>
      <x:c r="W110" s="57" t="str">
        <x:v>18.1</x:v>
      </x:c>
      <x:c r="X110" s="57" t="n">
        <x:v>2018</x:v>
      </x:c>
      <x:c r="Y110" s="57" t="str">
        <x:v>https://www.crossfit.com/essentials/movements</x:v>
      </x:c>
      <x:c r="Z110" s="57" t="str"/>
    </x:row>
    <x:row r="111" ht="46" customHeight="1">
      <x:c r="A111" s="57" t="str">
        <x:v>EX107</x:v>
      </x:c>
      <x:c r="B111" s="57" t="str">
        <x:v>덤벨 행 클린투오버헤드</x:v>
      </x:c>
      <x:c r="C111" s="57" t="str">
        <x:v>Dumbbell Hang Clean-to-Overhead</x:v>
      </x:c>
      <x:c r="D111" s="57" t="str">
        <x:v>웨이트리프팅</x:v>
      </x:c>
      <x:c r="E111" s="57" t="str">
        <x:v>덤벨 복합</x:v>
      </x:c>
      <x:c r="F111" s="57" t="str">
        <x:v>힌지+프론트랙+오버헤드</x:v>
      </x:c>
      <x:c r="G111" s="57" t="str">
        <x:v>메트콘</x:v>
      </x:c>
      <x:c r="H111" s="57" t="str">
        <x:v>덤벨</x:v>
      </x:c>
      <x:c r="I111" s="66" t="n">
        <x:v>1</x:v>
      </x:c>
      <x:c r="J111" s="66" t="n">
        <x:v>3</x:v>
      </x:c>
      <x:c r="K111" s="57" t="str">
        <x:v>중간</x:v>
      </x:c>
      <x:c r="L111" s="57" t="str">
        <x:v>회</x:v>
      </x:c>
      <x:c r="M111" s="57" t="str">
        <x:v>5~15/세트</x:v>
      </x:c>
      <x:c r="N111" s="57" t="str">
        <x:v>가벼움~중간</x:v>
      </x:c>
      <x:c r="O111" s="57" t="str">
        <x:v>행 클린+스트릭트 프레스</x:v>
      </x:c>
      <x:c r="P111" s="57" t="str">
        <x:v>연속 사이클/부하 증가</x:v>
      </x:c>
      <x:c r="Q111" s="57" t="str">
        <x:v>어깨/손목/허리 통증</x:v>
      </x:c>
      <x:c r="R111" s="57" t="str">
        <x:v>S28</x:v>
      </x:c>
      <x:c r="S111" s="57" t="str">
        <x:v>https://games.crossfit.com/workouts/open/2025</x:v>
      </x:c>
      <x:c r="T111" s="57" t="str">
        <x:v>Y</x:v>
      </x:c>
      <x:c r="U111" s="66" t="n">
        <x:v>1</x:v>
      </x:c>
      <x:c r="V111" s="57" t="str">
        <x:v>2025</x:v>
      </x:c>
      <x:c r="W111" s="57" t="str">
        <x:v>25.1</x:v>
      </x:c>
      <x:c r="X111" s="57" t="n">
        <x:v>2025</x:v>
      </x:c>
      <x:c r="Y111" s="57" t="str">
        <x:v>https://www.crossfit.com/essentials/movements</x:v>
      </x:c>
      <x:c r="Z111" s="57" t="str"/>
    </x:row>
    <x:row r="112" ht="46" customHeight="1">
      <x:c r="A112" s="57" t="str">
        <x:v>EX108</x:v>
      </x:c>
      <x:c r="B112" s="57" t="str">
        <x:v>덤벨 스러스터</x:v>
      </x:c>
      <x:c r="C112" s="57" t="str">
        <x:v>Dumbbell Thruster</x:v>
      </x:c>
      <x:c r="D112" s="57" t="str">
        <x:v>웨이트리프팅</x:v>
      </x:c>
      <x:c r="E112" s="57" t="str">
        <x:v>혼합</x:v>
      </x:c>
      <x:c r="F112" s="57" t="str">
        <x:v>프론트 스쿼트+오버헤드</x:v>
      </x:c>
      <x:c r="G112" s="57" t="str">
        <x:v>메트콘</x:v>
      </x:c>
      <x:c r="H112" s="57" t="str">
        <x:v>덤벨</x:v>
      </x:c>
      <x:c r="I112" s="66" t="n">
        <x:v>1</x:v>
      </x:c>
      <x:c r="J112" s="66" t="n">
        <x:v>2</x:v>
      </x:c>
      <x:c r="K112" s="57" t="str">
        <x:v>중간</x:v>
      </x:c>
      <x:c r="L112" s="57" t="str">
        <x:v>회</x:v>
      </x:c>
      <x:c r="M112" s="57" t="str">
        <x:v>5~20/세트</x:v>
      </x:c>
      <x:c r="N112" s="57" t="str">
        <x:v>가벼움~중간</x:v>
      </x:c>
      <x:c r="O112" s="57" t="str">
        <x:v>싱글 DB/가벼운 부하</x:v>
      </x:c>
      <x:c r="P112" s="57" t="str">
        <x:v>더블 DB 고중량</x:v>
      </x:c>
      <x:c r="Q112" s="57" t="str">
        <x:v>무릎/어깨 통증</x:v>
      </x:c>
      <x:c r="R112" s="57" t="str">
        <x:v>S23</x:v>
      </x:c>
      <x:c r="S112" s="57" t="str">
        <x:v>https://games.crossfit.com/workouts/open/2020</x:v>
      </x:c>
      <x:c r="T112" s="57" t="str">
        <x:v>Y</x:v>
      </x:c>
      <x:c r="U112" s="66" t="n">
        <x:v>1</x:v>
      </x:c>
      <x:c r="V112" s="57" t="str">
        <x:v>2020</x:v>
      </x:c>
      <x:c r="W112" s="57" t="str">
        <x:v>20.2</x:v>
      </x:c>
      <x:c r="X112" s="57" t="n">
        <x:v>2020</x:v>
      </x:c>
      <x:c r="Y112" s="57" t="str">
        <x:v>https://www.crossfit.com/essentials/movements</x:v>
      </x:c>
      <x:c r="Z112" s="57" t="str">
        <x:v>https://www.youtube.com/watch?v=u3wKkZjE8QM</x:v>
      </x:c>
    </x:row>
    <x:row r="113" ht="46" customHeight="1">
      <x:c r="A113" s="57" t="str">
        <x:v>EX109</x:v>
      </x:c>
      <x:c r="B113" s="57" t="str">
        <x:v>덤벨 스쿼트</x:v>
      </x:c>
      <x:c r="C113" s="57" t="str">
        <x:v>Dumbbell Squat</x:v>
      </x:c>
      <x:c r="D113" s="57" t="str">
        <x:v>웨이트리프팅</x:v>
      </x:c>
      <x:c r="E113" s="57" t="str">
        <x:v>스쿼트</x:v>
      </x:c>
      <x:c r="F113" s="57" t="str">
        <x:v>스쿼트+프론트랙</x:v>
      </x:c>
      <x:c r="G113" s="57" t="str">
        <x:v>메트콘/근력</x:v>
      </x:c>
      <x:c r="H113" s="57" t="str">
        <x:v>덤벨 2개</x:v>
      </x:c>
      <x:c r="I113" s="66" t="n">
        <x:v>1</x:v>
      </x:c>
      <x:c r="J113" s="66" t="n">
        <x:v>2</x:v>
      </x:c>
      <x:c r="K113" s="57" t="str">
        <x:v>중간</x:v>
      </x:c>
      <x:c r="L113" s="57" t="str">
        <x:v>회</x:v>
      </x:c>
      <x:c r="M113" s="57" t="str">
        <x:v>5~20/세트</x:v>
      </x:c>
      <x:c r="N113" s="57" t="str">
        <x:v>중간</x:v>
      </x:c>
      <x:c r="O113" s="57" t="str">
        <x:v>고블릿 스쿼트</x:v>
      </x:c>
      <x:c r="P113" s="57" t="str">
        <x:v>부하/템포 증가</x:v>
      </x:c>
      <x:c r="Q113" s="57" t="str">
        <x:v>손목/무릎 통증</x:v>
      </x:c>
      <x:c r="R113" s="57" t="str">
        <x:v>S21</x:v>
      </x:c>
      <x:c r="S113" s="57" t="str">
        <x:v>https://games.crossfit.com/workouts/open/2018</x:v>
      </x:c>
      <x:c r="T113" s="57" t="str">
        <x:v>Y</x:v>
      </x:c>
      <x:c r="U113" s="66" t="n">
        <x:v>1</x:v>
      </x:c>
      <x:c r="V113" s="57" t="str">
        <x:v>2018</x:v>
      </x:c>
      <x:c r="W113" s="57" t="str">
        <x:v>18.2 + 18.2a</x:v>
      </x:c>
      <x:c r="X113" s="57" t="n">
        <x:v>2018</x:v>
      </x:c>
      <x:c r="Y113" s="57" t="str">
        <x:v>https://www.crossfit.com/essentials/movements</x:v>
      </x:c>
      <x:c r="Z113" s="57" t="str"/>
    </x:row>
    <x:row r="114" ht="46" customHeight="1">
      <x:c r="A114" s="57" t="str">
        <x:v>EX110</x:v>
      </x:c>
      <x:c r="B114" s="57" t="str">
        <x:v>그라운드투오버헤드</x:v>
      </x:c>
      <x:c r="C114" s="57" t="str">
        <x:v>Ground-to-Overhead</x:v>
      </x:c>
      <x:c r="D114" s="57" t="str">
        <x:v>웨이트리프팅</x:v>
      </x:c>
      <x:c r="E114" s="57" t="str">
        <x:v>바벨 복합</x:v>
      </x:c>
      <x:c r="F114" s="57" t="str">
        <x:v>바닥→오버헤드 선택형</x:v>
      </x:c>
      <x:c r="G114" s="57" t="str">
        <x:v>메트콘</x:v>
      </x:c>
      <x:c r="H114" s="57" t="str">
        <x:v>바벨</x:v>
      </x:c>
      <x:c r="I114" s="66" t="n">
        <x:v>2</x:v>
      </x:c>
      <x:c r="J114" s="66" t="n">
        <x:v>4</x:v>
      </x:c>
      <x:c r="K114" s="57" t="str">
        <x:v>중간</x:v>
      </x:c>
      <x:c r="L114" s="57" t="str">
        <x:v>회</x:v>
      </x:c>
      <x:c r="M114" s="57" t="str">
        <x:v>3~15/세트</x:v>
      </x:c>
      <x:c r="N114" s="57" t="str">
        <x:v>중간</x:v>
      </x:c>
      <x:c r="O114" s="57" t="str">
        <x:v>클린+푸시프레스</x:v>
      </x:c>
      <x:c r="P114" s="57" t="str">
        <x:v>스내치/클린앤저크 전략</x:v>
      </x:c>
      <x:c r="Q114" s="57" t="str">
        <x:v>어깨/손목/허리 통증</x:v>
      </x:c>
      <x:c r="R114" s="57" t="str">
        <x:v>S23</x:v>
      </x:c>
      <x:c r="S114" s="57" t="str">
        <x:v>https://games.crossfit.com/workouts/open/2020</x:v>
      </x:c>
      <x:c r="T114" s="57" t="str">
        <x:v>Y</x:v>
      </x:c>
      <x:c r="U114" s="66" t="n">
        <x:v>1</x:v>
      </x:c>
      <x:c r="V114" s="57" t="str">
        <x:v>2020</x:v>
      </x:c>
      <x:c r="W114" s="57" t="str">
        <x:v>20.1</x:v>
      </x:c>
      <x:c r="X114" s="57" t="n">
        <x:v>2020</x:v>
      </x:c>
      <x:c r="Y114" s="57" t="str">
        <x:v>https://www.crossfit.com/essentials/movements</x:v>
      </x:c>
      <x:c r="Z114" s="57" t="str"/>
    </x:row>
    <x:row r="115" ht="46" customHeight="1">
      <x:c r="A115" s="57" t="str">
        <x:v>EX111</x:v>
      </x:c>
      <x:c r="B115" s="57" t="str">
        <x:v>클린앤저크</x:v>
      </x:c>
      <x:c r="C115" s="57" t="str">
        <x:v>Clean and Jerk</x:v>
      </x:c>
      <x:c r="D115" s="57" t="str">
        <x:v>웨이트리프팅</x:v>
      </x:c>
      <x:c r="E115" s="57" t="str">
        <x:v>올림픽-복합</x:v>
      </x:c>
      <x:c r="F115" s="57" t="str">
        <x:v>클린+오버헤드</x:v>
      </x:c>
      <x:c r="G115" s="57" t="str">
        <x:v>기술/파워/메트콘</x:v>
      </x:c>
      <x:c r="H115" s="57" t="str">
        <x:v>바벨</x:v>
      </x:c>
      <x:c r="I115" s="66" t="n">
        <x:v>2</x:v>
      </x:c>
      <x:c r="J115" s="66" t="n">
        <x:v>5</x:v>
      </x:c>
      <x:c r="K115" s="57" t="str">
        <x:v>중간</x:v>
      </x:c>
      <x:c r="L115" s="57" t="str">
        <x:v>품질회</x:v>
      </x:c>
      <x:c r="M115" s="57" t="str">
        <x:v>4~10×1~2</x:v>
      </x:c>
      <x:c r="N115" s="57" t="str">
        <x:v>중간~무거움</x:v>
      </x:c>
      <x:c r="O115" s="57" t="str">
        <x:v>행 파워클린+푸시저크</x:v>
      </x:c>
      <x:c r="P115" s="57" t="str">
        <x:v>경기식 중량</x:v>
      </x:c>
      <x:c r="Q115" s="57" t="str">
        <x:v>감독 없음/어깨·손목·허리 통증</x:v>
      </x:c>
      <x:c r="R115" s="57" t="str">
        <x:v>S23</x:v>
      </x:c>
      <x:c r="S115" s="57" t="str">
        <x:v>https://games.crossfit.com/workouts/open/2020</x:v>
      </x:c>
      <x:c r="T115" s="57" t="str">
        <x:v>Y</x:v>
      </x:c>
      <x:c r="U115" s="66" t="n">
        <x:v>1</x:v>
      </x:c>
      <x:c r="V115" s="57" t="str">
        <x:v>2020</x:v>
      </x:c>
      <x:c r="W115" s="57" t="str">
        <x:v>20.4</x:v>
      </x:c>
      <x:c r="X115" s="57" t="n">
        <x:v>2020</x:v>
      </x:c>
      <x:c r="Y115" s="57" t="str">
        <x:v>https://www.crossfit.com/essentials/movements</x:v>
      </x:c>
      <x:c r="Z115" s="57" t="str"/>
    </x:row>
    <x:row r="116" ht="46" customHeight="1">
      <x:c r="A116" s="57" t="str">
        <x:v>EX112</x:v>
      </x:c>
      <x:c r="B116" s="57" t="str">
        <x:v>스트릭트 핸드스탠드 푸시업</x:v>
      </x:c>
      <x:c r="C116" s="57" t="str">
        <x:v>Strict Handstand Push-up</x:v>
      </x:c>
      <x:c r="D116" s="57" t="str">
        <x:v>체조</x:v>
      </x:c>
      <x:c r="E116" s="57" t="str">
        <x:v>인버전 밀기</x:v>
      </x:c>
      <x:c r="F116" s="57" t="str">
        <x:v>수직 밀기</x:v>
      </x:c>
      <x:c r="G116" s="57" t="str">
        <x:v>기술/메트콘</x:v>
      </x:c>
      <x:c r="H116" s="57" t="str">
        <x:v>벽/매트</x:v>
      </x:c>
      <x:c r="I116" s="66" t="n">
        <x:v>3</x:v>
      </x:c>
      <x:c r="J116" s="66" t="n">
        <x:v>5</x:v>
      </x:c>
      <x:c r="K116" s="57" t="str">
        <x:v>중간</x:v>
      </x:c>
      <x:c r="L116" s="57" t="str">
        <x:v>품질회</x:v>
      </x:c>
      <x:c r="M116" s="57" t="str">
        <x:v>3~8×1~6</x:v>
      </x:c>
      <x:c r="N116" s="57" t="str">
        <x:v>체중</x:v>
      </x:c>
      <x:c r="O116" s="57" t="str">
        <x:v>박스 파이크/DB 스트릭트프레스</x:v>
      </x:c>
      <x:c r="P116" s="57" t="str">
        <x:v>디피싯 스트릭트 HSPU</x:v>
      </x:c>
      <x:c r="Q116" s="57" t="str">
        <x:v>목/어깨/손목 통증</x:v>
      </x:c>
      <x:c r="R116" s="57" t="str">
        <x:v>S22</x:v>
      </x:c>
      <x:c r="S116" s="57" t="str">
        <x:v>https://games.crossfit.com/workouts/open/2019</x:v>
      </x:c>
      <x:c r="T116" s="57" t="str">
        <x:v>Y</x:v>
      </x:c>
      <x:c r="U116" s="66" t="n">
        <x:v>2</x:v>
      </x:c>
      <x:c r="V116" s="57" t="str">
        <x:v>2019, 2023</x:v>
      </x:c>
      <x:c r="W116" s="57" t="str">
        <x:v>19.3, 23.3</x:v>
      </x:c>
      <x:c r="X116" s="57" t="n">
        <x:v>2023</x:v>
      </x:c>
      <x:c r="Y116" s="57" t="str">
        <x:v>https://www.crossfit.com/essentials/movements</x:v>
      </x:c>
      <x:c r="Z116" s="57" t="str"/>
    </x:row>
    <x:row r="117" ht="46" customHeight="1">
      <x:c r="A117" s="57" t="str">
        <x:v>EX113</x:v>
      </x:c>
      <x:c r="B117" s="57" t="str">
        <x:v>바 넘기 버피</x:v>
      </x:c>
      <x:c r="C117" s="57" t="str">
        <x:v>Burpee over Bar</x:v>
      </x:c>
      <x:c r="D117" s="57" t="str">
        <x:v>체조</x:v>
      </x:c>
      <x:c r="E117" s="57" t="str">
        <x:v>버피 변형</x:v>
      </x:c>
      <x:c r="F117" s="57" t="str">
        <x:v>수평 밀기+바 넘기</x:v>
      </x:c>
      <x:c r="G117" s="57" t="str">
        <x:v>메트콘</x:v>
      </x:c>
      <x:c r="H117" s="57" t="str">
        <x:v>바벨</x:v>
      </x:c>
      <x:c r="I117" s="66" t="n">
        <x:v>1</x:v>
      </x:c>
      <x:c r="J117" s="66" t="n">
        <x:v>2</x:v>
      </x:c>
      <x:c r="K117" s="57" t="str">
        <x:v>높음</x:v>
      </x:c>
      <x:c r="L117" s="57" t="str">
        <x:v>회</x:v>
      </x:c>
      <x:c r="M117" s="57" t="str">
        <x:v>5~15/세트</x:v>
      </x:c>
      <x:c r="N117" s="57" t="str">
        <x:v>무부하</x:v>
      </x:c>
      <x:c r="O117" s="57" t="str">
        <x:v>스텝백+스텝오버</x:v>
      </x:c>
      <x:c r="P117" s="57" t="str">
        <x:v>바페이싱/고속 사이클</x:v>
      </x:c>
      <x:c r="Q117" s="57" t="str">
        <x:v>손목/허리/아킬레스 통증</x:v>
      </x:c>
      <x:c r="R117" s="57" t="str">
        <x:v>S29</x:v>
      </x:c>
      <x:c r="S117" s="57" t="str">
        <x:v>https://games.crossfit.com/workouts/open/2026</x:v>
      </x:c>
      <x:c r="T117" s="57" t="str">
        <x:v>Y</x:v>
      </x:c>
      <x:c r="U117" s="66" t="n">
        <x:v>1</x:v>
      </x:c>
      <x:c r="V117" s="57" t="str">
        <x:v>2026</x:v>
      </x:c>
      <x:c r="W117" s="57" t="str">
        <x:v>26.3</x:v>
      </x:c>
      <x:c r="X117" s="57" t="n">
        <x:v>2026</x:v>
      </x:c>
      <x:c r="Y117" s="57" t="str">
        <x:v>https://www.crossfit.com/essentials/movements</x:v>
      </x:c>
      <x:c r="Z117" s="57" t="str"/>
    </x:row>
    <x:row r="118" ht="46" customHeight="1">
      <x:c r="A118" s="57" t="str">
        <x:v>EX114</x:v>
      </x:c>
      <x:c r="B118" s="57" t="str">
        <x:v>행 클린</x:v>
      </x:c>
      <x:c r="C118" s="57" t="str">
        <x:v>Hang Clean</x:v>
      </x:c>
      <x:c r="D118" s="57" t="str">
        <x:v>웨이트리프팅</x:v>
      </x:c>
      <x:c r="E118" s="57" t="str">
        <x:v>올림픽-클린</x:v>
      </x:c>
      <x:c r="F118" s="57" t="str">
        <x:v>힌지+폭발 당김+프론트스쿼트</x:v>
      </x:c>
      <x:c r="G118" s="57" t="str">
        <x:v>기술/파워</x:v>
      </x:c>
      <x:c r="H118" s="57" t="str">
        <x:v>바벨</x:v>
      </x:c>
      <x:c r="I118" s="66" t="n">
        <x:v>2</x:v>
      </x:c>
      <x:c r="J118" s="66" t="n">
        <x:v>4</x:v>
      </x:c>
      <x:c r="K118" s="57" t="str">
        <x:v>중간</x:v>
      </x:c>
      <x:c r="L118" s="57" t="str">
        <x:v>품질회</x:v>
      </x:c>
      <x:c r="M118" s="57" t="str">
        <x:v>4~8×1~3</x:v>
      </x:c>
      <x:c r="N118" s="57" t="str">
        <x:v>중간</x:v>
      </x:c>
      <x:c r="O118" s="57" t="str">
        <x:v>행 파워클린</x:v>
      </x:c>
      <x:c r="P118" s="57" t="str">
        <x:v>저행/복합 클린</x:v>
      </x:c>
      <x:c r="Q118" s="57" t="str">
        <x:v>손목/허리/무릎 통증</x:v>
      </x:c>
      <x:c r="R118" s="57" t="str">
        <x:v>S24</x:v>
      </x:c>
      <x:c r="S118" s="57" t="str">
        <x:v>https://games.crossfit.com/workouts/open/2021</x:v>
      </x:c>
      <x:c r="T118" s="57" t="str">
        <x:v>Y</x:v>
      </x:c>
      <x:c r="U118" s="66" t="n">
        <x:v>1</x:v>
      </x:c>
      <x:c r="V118" s="57" t="str">
        <x:v>2021</x:v>
      </x:c>
      <x:c r="W118" s="57" t="str">
        <x:v>21.4</x:v>
      </x:c>
      <x:c r="X118" s="57" t="n">
        <x:v>2021</x:v>
      </x:c>
      <x:c r="Y118" s="57" t="str">
        <x:v>https://www.crossfit.com/essentials/movements</x:v>
      </x:c>
      <x:c r="Z118" s="57" t="str"/>
    </x:row>
    <x:row r="119">
      <x:c r="A119" s="48" t="str">
        <x:v>EX115</x:v>
      </x:c>
      <x:c r="B119" s="48" t="str">
        <x:v>스모 데드리프트 하이풀</x:v>
      </x:c>
      <x:c r="C119" s="48" t="str">
        <x:v>Sumo Deadlift High Pull</x:v>
      </x:c>
      <x:c r="D119" s="48" t="str">
        <x:v>웨이트리프팅</x:v>
      </x:c>
      <x:c r="E119" s="48" t="str">
        <x:v>힌지/당기기</x:v>
      </x:c>
      <x:c r="F119" s="48" t="str">
        <x:v>와이드 힌지+수직 당기기</x:v>
      </x:c>
      <x:c r="G119" s="48" t="str">
        <x:v>기술/메트콘</x:v>
      </x:c>
      <x:c r="H119" s="48" t="str">
        <x:v>바벨/케틀벨</x:v>
      </x:c>
      <x:c r="I119" s="48" t="n">
        <x:v>1</x:v>
      </x:c>
      <x:c r="J119" s="48" t="n">
        <x:v>2</x:v>
      </x:c>
      <x:c r="K119" s="48" t="str">
        <x:v>중간</x:v>
      </x:c>
      <x:c r="L119" s="48" t="str">
        <x:v>회</x:v>
      </x:c>
      <x:c r="M119" s="48" t="str">
        <x:v>5~15/세트</x:v>
      </x:c>
      <x:c r="N119" s="48" t="str">
        <x:v>가벼움~중간</x:v>
      </x:c>
      <x:c r="O119" s="48" t="str">
        <x:v>스모 데드리프트</x:v>
      </x:c>
      <x:c r="P119" s="48" t="str">
        <x:v>부하/사이클 증가</x:v>
      </x:c>
      <x:c r="Q119" s="48" t="str">
        <x:v>허리/어깨/손목 통증</x:v>
      </x:c>
      <x:c r="R119" s="48" t="str">
        <x:v>S18</x:v>
      </x:c>
      <x:c r="S119" s="48" t="str">
        <x:v>https://www.crossfit.com/essentials/movements</x:v>
      </x:c>
      <x:c r="T119" s="48" t="str">
        <x:v>N</x:v>
      </x:c>
      <x:c r="U119" s="48" t="n">
        <x:v>0</x:v>
      </x:c>
      <x:c r="V119" s="48" t="str"/>
      <x:c r="W119" s="48" t="str"/>
      <x:c r="X119" s="48" t="str"/>
      <x:c r="Y119" s="48" t="str">
        <x:v>https://www.crossfit.com/essentials/movements</x:v>
      </x:c>
      <x:c r="Z119" s="48" t="str">
        <x:v>https://www.youtube.com/watch?v=o6QniJ9FaGA</x:v>
      </x:c>
    </x:row>
  </x:sheetData>
  <x:mergeCells>
    <x:mergeCell ref="A1:Z1"/>
    <x:mergeCell ref="A2:Z2"/>
  </x:mergeCells>
  <x:conditionalFormatting sqref="I5:I118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6f5c20c5274469a"/>
  </x:tableParts>
</x:worksheet>
</file>